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18"/>
  <workbookPr defaultThemeVersion="166925"/>
  <mc:AlternateContent xmlns:mc="http://schemas.openxmlformats.org/markup-compatibility/2006">
    <mc:Choice Requires="x15">
      <x15ac:absPath xmlns:x15ac="http://schemas.microsoft.com/office/spreadsheetml/2010/11/ac" url="https://digipen824.sharepoint.com/sites/TeamChocoLatte/Shared Documents/General/project_doc/"/>
    </mc:Choice>
  </mc:AlternateContent>
  <xr:revisionPtr revIDLastSave="0" documentId="8_{B3DF5517-60B5-459E-B15E-D4853860676C}" xr6:coauthVersionLast="47" xr6:coauthVersionMax="47" xr10:uidLastSave="{00000000-0000-0000-0000-000000000000}"/>
  <bookViews>
    <workbookView xWindow="-120" yWindow="-120" windowWidth="51840" windowHeight="21240" firstSheet="1" activeTab="1" xr2:uid="{A89F0CA0-527A-4B26-99DD-E728F0C1D180}"/>
  </bookViews>
  <sheets>
    <sheet name="Step1-Overview" sheetId="1" r:id="rId1"/>
    <sheet name="Step2-Task Backlog" sheetId="2" r:id="rId2"/>
    <sheet name="Step3-Budgeting" sheetId="3" r:id="rId3"/>
    <sheet name="TaskTypes" sheetId="5" r:id="rId4"/>
    <sheet name="Priorities" sheetId="6" r:id="rId5"/>
    <sheet name="Plan Grading" sheetId="7" r:id="rId6"/>
  </sheets>
  <definedNames>
    <definedName name="_xlnm._FilterDatabase" localSheetId="1" hidden="1">'Step2-Task Backlog'!$A$4:$I$81</definedName>
    <definedName name="PLANNED" localSheetId="5">#REF!</definedName>
    <definedName name="PLANNED">#REF!</definedName>
    <definedName name="PLANNED_START" localSheetId="5">#REF!</definedName>
    <definedName name="PLANNED_START">#REF!</definedName>
    <definedName name="PLANNEDSTART" localSheetId="5">#REF!</definedName>
    <definedName name="PLANNEDSTART">#REF!</definedName>
    <definedName name="Week1" localSheetId="5">#REF!</definedName>
    <definedName name="Week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 i="3" l="1"/>
  <c r="G11" i="3"/>
  <c r="F11" i="3"/>
  <c r="E11" i="3"/>
  <c r="H10" i="3"/>
  <c r="G10" i="3"/>
  <c r="F10" i="3"/>
  <c r="E10" i="3"/>
  <c r="H9" i="3"/>
  <c r="G9" i="3"/>
  <c r="F9" i="3"/>
  <c r="E9" i="3"/>
  <c r="D10" i="3"/>
  <c r="D11" i="3"/>
  <c r="D9" i="3"/>
  <c r="G12" i="3" l="1"/>
  <c r="H12" i="3"/>
  <c r="C12" i="7"/>
  <c r="F12" i="3" l="1"/>
  <c r="D12" i="3"/>
  <c r="C12" i="3"/>
  <c r="E12" i="3" l="1"/>
</calcChain>
</file>

<file path=xl/sharedStrings.xml><?xml version="1.0" encoding="utf-8"?>
<sst xmlns="http://schemas.openxmlformats.org/spreadsheetml/2006/main" count="605" uniqueCount="251">
  <si>
    <t>Here we list down the various Epics that define the product to be made. 
Make sure there are enough Epics to give a comprehensive idea of what is required to achieve your product.</t>
  </si>
  <si>
    <t>Epic</t>
  </si>
  <si>
    <t>Player</t>
  </si>
  <si>
    <t>Enemy</t>
  </si>
  <si>
    <t>Boss</t>
  </si>
  <si>
    <t>Level Design</t>
  </si>
  <si>
    <t>Collision</t>
  </si>
  <si>
    <t>Drop</t>
  </si>
  <si>
    <t>Game State Management</t>
  </si>
  <si>
    <t>Audio</t>
  </si>
  <si>
    <t>Graphic</t>
  </si>
  <si>
    <t>Camera</t>
  </si>
  <si>
    <t>Buff</t>
  </si>
  <si>
    <t>Defense Target</t>
  </si>
  <si>
    <t>Defense Tactics</t>
  </si>
  <si>
    <t>Pathfinding Algorithm</t>
  </si>
  <si>
    <t>Instructions</t>
  </si>
  <si>
    <t>Here we list down all the tasks required to achieve our goal for the project. 
Use the Epics listed in Step1-Overview to come up with these tasks. 
All Epics should have tasks listed to achieve that Epic. Rank each task with a Priority.
Each "Must Have" task needs to be assgined to someone for completion.
Add names in the table of Step3-Budgeting and the assignee column will have a dropdown list for you to pick from.
"Week" refers to the week the task should be started and finished.
Estimate the number of hours the task might require and always set which week this task is to be completed by.
Everyone can only commit a certain number of hours each week. Make sure that the total time for all tasks in a week does not exceed that commitment.
When a task is completed, the Hours Estimate will be interpreted as the time taken to actually finish the task.
If a task does not belong to any Epic, leave that part empty for that task.</t>
  </si>
  <si>
    <t>Priority</t>
  </si>
  <si>
    <t>Task</t>
  </si>
  <si>
    <t>Description</t>
  </si>
  <si>
    <t>Hours Estimate</t>
  </si>
  <si>
    <t>Week</t>
  </si>
  <si>
    <t>Assignee</t>
  </si>
  <si>
    <t>Type</t>
  </si>
  <si>
    <t>Completed?</t>
  </si>
  <si>
    <t>Must Have</t>
  </si>
  <si>
    <t>Boss spawning logic</t>
  </si>
  <si>
    <t>Boss appearing and spawn from left when player reaches the wave</t>
  </si>
  <si>
    <t>Dalton</t>
  </si>
  <si>
    <t>Code</t>
  </si>
  <si>
    <t>Yes</t>
  </si>
  <si>
    <t>Boss attack and movement logic</t>
  </si>
  <si>
    <t>Bosses are able to move in all 2D directions, but will prioritize player instead of the chocolate. Destroy barriers upon contact.</t>
  </si>
  <si>
    <t>Health and damage system (enemy)</t>
  </si>
  <si>
    <t>System to manage enemies taking damage from bullets.
All damage and health will be easy to manage integers.</t>
  </si>
  <si>
    <t>Zong Han</t>
  </si>
  <si>
    <t>Health Bar Display</t>
  </si>
  <si>
    <t>Health bar UI to display the health of entity on the map.</t>
  </si>
  <si>
    <t>Enemy spawning logic</t>
  </si>
  <si>
    <t>Enemies will spawn randomly on the left side of the map</t>
  </si>
  <si>
    <t>Hitboxes</t>
  </si>
  <si>
    <t>Add hitboxes for both player and enemies.</t>
  </si>
  <si>
    <t>Fadzly</t>
  </si>
  <si>
    <t>Circle-Circle collision</t>
  </si>
  <si>
    <t>Hit test between circles.</t>
  </si>
  <si>
    <t>Boundary collision</t>
  </si>
  <si>
    <t>Hit test between hit-boxes and boundary.</t>
  </si>
  <si>
    <t>Point-Circle collision</t>
  </si>
  <si>
    <t>Hit test between points and circles.</t>
  </si>
  <si>
    <t>Point-Rectangle collision</t>
  </si>
  <si>
    <t>Hit test between points and rectangles.</t>
  </si>
  <si>
    <t>Circle-Rectangle collision</t>
  </si>
  <si>
    <t>Hit test between rectangles and circles.</t>
  </si>
  <si>
    <t>Rectangle-Rectangle collision</t>
  </si>
  <si>
    <t>Hit test between rectangles.</t>
  </si>
  <si>
    <t>Main Menu</t>
  </si>
  <si>
    <t>Main menu user interface and interaction. Should have - Play, options, exit.</t>
  </si>
  <si>
    <t>Ability to dash</t>
  </si>
  <si>
    <t>Player character can quickly reposition in any directions a short distance when spacebar is pressed.</t>
  </si>
  <si>
    <t>Player basic movement</t>
  </si>
  <si>
    <t>Player character to move in all 2D directions</t>
  </si>
  <si>
    <t>Health and damage system (boss)</t>
  </si>
  <si>
    <t>System to manage boss taking damage from player character.
All damage and health will be easy to manage integers.</t>
  </si>
  <si>
    <t>Buff meter</t>
  </si>
  <si>
    <t>Meter will be gained after an enemy is killed.</t>
  </si>
  <si>
    <t>Enemy attack and movement logic</t>
  </si>
  <si>
    <t>Enemies will prioritize moving towards chocolate, but if player is nearby in its direction, move towards player instead. Damage barricade if bump into</t>
  </si>
  <si>
    <t>Basic shooting</t>
  </si>
  <si>
    <t>Player character shooting basic projectiles with circle hitbox.
Controlled by mouse (aiming) - bullets will follow mouse click direction.</t>
  </si>
  <si>
    <t>Horizontal panning and follows player</t>
  </si>
  <si>
    <t>Camera follows player but pans horizontally. If boundary is reached, only the player can move until it is out of boundary.</t>
  </si>
  <si>
    <t>Reviving player logic</t>
  </si>
  <si>
    <t>Reduce health to revive player.</t>
  </si>
  <si>
    <t>Health and damage system (defense target)</t>
  </si>
  <si>
    <t>System to manage defense target taking damage from enemies.
All damage and health will be easy to manage integers.</t>
  </si>
  <si>
    <t>Invincibility effect</t>
  </si>
  <si>
    <t>Player becomes impervious to every damage for 1.5 seconds after getting hit. Represented by a flickering effect</t>
  </si>
  <si>
    <t>Health and damage system (self)</t>
  </si>
  <si>
    <t>System to manage player character taking damage from enemies.
All damage and health will be easy to manage integers</t>
  </si>
  <si>
    <t>1st Boss attack pattern</t>
  </si>
  <si>
    <t>1st boss will have charging attack which will charge and deal massive damage to player.</t>
  </si>
  <si>
    <t>Upgrades</t>
  </si>
  <si>
    <t xml:space="preserve">Upgrades increase player's stats such as health up, damage up, fire rate up, mobility up. Upgrades will be activated after buff gained. </t>
  </si>
  <si>
    <t>Obstacles</t>
  </si>
  <si>
    <t>Obstacles to block movement.</t>
  </si>
  <si>
    <t>Grid system for map</t>
  </si>
  <si>
    <t>Generate point nodes to form map grid</t>
  </si>
  <si>
    <t>Connection of nodes</t>
  </si>
  <si>
    <t>Connect neighbours for nodes to form path for AI</t>
  </si>
  <si>
    <t>Shooting system (Allies)</t>
  </si>
  <si>
    <t>Allies will shoot bullets to direction of nearest enemies. All damage and will be easy to manage integers.</t>
  </si>
  <si>
    <t>Allies insert</t>
  </si>
  <si>
    <t>Spawning attacking NPCs that help to defend chocolate with a specific time limit. Each wave can only add one allies...</t>
  </si>
  <si>
    <t>Health system (Barricades)</t>
  </si>
  <si>
    <t>System to manage barricades taking damage from enemies.
All health will be easy to manage integers.</t>
  </si>
  <si>
    <t>Barricades insert</t>
  </si>
  <si>
    <t>To place barricades to block enemy's path and defend against enemy projectiles (if any).</t>
  </si>
  <si>
    <t>Astar Pathfinding</t>
  </si>
  <si>
    <t>Implement astar pathfinding to find the shortest path between two nodes.</t>
  </si>
  <si>
    <t>Design of level 1</t>
  </si>
  <si>
    <t>Placing of obstacles to form the overall layout of level 1</t>
  </si>
  <si>
    <t>Level</t>
  </si>
  <si>
    <t>Reflective Foil (Timer)</t>
  </si>
  <si>
    <t>Invulnerability mode for choco shooter. Reflect damage incurred to player back to enemy for short time period.</t>
  </si>
  <si>
    <t>Fast Shots (Timer)</t>
  </si>
  <si>
    <t>Double the firing rate of player.</t>
  </si>
  <si>
    <t>Options Menu</t>
  </si>
  <si>
    <t>Options menu user interface and interaction. Should have - resolution, volume</t>
  </si>
  <si>
    <t>Pause Menu</t>
  </si>
  <si>
    <t>Pause menu user interface and interaction. Pause menu contains resume, options, exit.</t>
  </si>
  <si>
    <t>Smart Pistol (Timer)</t>
  </si>
  <si>
    <t>Player fired shots follow target enemies. Bullets will have a radar that will follows the detected enemies.</t>
  </si>
  <si>
    <t>Normal / boss wave indicator</t>
  </si>
  <si>
    <t xml:space="preserve">Animation to alert player when enemy waves or boss is approaching </t>
  </si>
  <si>
    <t>Player Heal</t>
  </si>
  <si>
    <t xml:space="preserve">Recovers player health. </t>
  </si>
  <si>
    <t>Frozing Shots (Timer)</t>
  </si>
  <si>
    <t>Shoot projectiles which can slow down enemies.</t>
  </si>
  <si>
    <t>Buff Activation</t>
  </si>
  <si>
    <t>Player can activate and apply buffs from buff slots by pressing number button.</t>
  </si>
  <si>
    <t>Function to manage audio</t>
  </si>
  <si>
    <t>Create a function for other files to be able to call and use different audio
easily</t>
  </si>
  <si>
    <t>General SFX</t>
  </si>
  <si>
    <t>General sounds that are not part of the UI (firing, impact, death etc)</t>
  </si>
  <si>
    <t>UI SFX</t>
  </si>
  <si>
    <t>UI sounds.</t>
  </si>
  <si>
    <t>Should Have</t>
  </si>
  <si>
    <t>Music composition</t>
  </si>
  <si>
    <t>Music for main menu and/or the game scene.</t>
  </si>
  <si>
    <t>Entity sprites</t>
  </si>
  <si>
    <t>Images of player, enemies, and defense target etc</t>
  </si>
  <si>
    <t>Art</t>
  </si>
  <si>
    <t>Level backgrounds</t>
  </si>
  <si>
    <t>Graphic background for level map</t>
  </si>
  <si>
    <t>Walking animation</t>
  </si>
  <si>
    <t>Encompasses all walking animation of enemies, bosses and choco shooter</t>
  </si>
  <si>
    <t>General UI elements design</t>
  </si>
  <si>
    <t>Buttons, sliders, etc</t>
  </si>
  <si>
    <t>Buff icons</t>
  </si>
  <si>
    <t>Images of buffs for better user experience (for example 3 active buffs in the active slots will need something to represent them)</t>
  </si>
  <si>
    <t>Buff display</t>
  </si>
  <si>
    <t>Buff display in the center of the screen and move to stay at a position after that.</t>
  </si>
  <si>
    <t>Single-use active buffs</t>
  </si>
  <si>
    <t>Player loses active buff when time limit of activated buff reached. Upgrades will not disappear.</t>
  </si>
  <si>
    <t>Credits Menu</t>
  </si>
  <si>
    <t>Credit state containing information of dev team.</t>
  </si>
  <si>
    <t>Weekly progress meeting</t>
  </si>
  <si>
    <t>Weekly progress report and discussion on Teams.</t>
  </si>
  <si>
    <t>ALL</t>
  </si>
  <si>
    <t>Admin</t>
  </si>
  <si>
    <t>Won't Have</t>
  </si>
  <si>
    <t>Charged shot</t>
  </si>
  <si>
    <t>An alternate firing mode by holding down firing button then releasing after a certain amount of time. This projectile will deal more damage (and other effects depending on enemy).
Activate in shop using currencies.</t>
  </si>
  <si>
    <t>Rage mode</t>
  </si>
  <si>
    <t>Sacrifice health of player to power up.
Activate in shop using currencies.</t>
  </si>
  <si>
    <t>Melee enemy dash to attack</t>
  </si>
  <si>
    <t>Enemies will dash towards nearby target.</t>
  </si>
  <si>
    <t>2nd Boss attack pattern</t>
  </si>
  <si>
    <r>
      <rPr>
        <b/>
        <sz val="11"/>
        <color rgb="FF000000"/>
        <rFont val="Calibri"/>
      </rPr>
      <t xml:space="preserve">(TBD) </t>
    </r>
    <r>
      <rPr>
        <sz val="11"/>
        <color rgb="FF000000"/>
        <rFont val="Calibri"/>
      </rPr>
      <t>2nd boss can attack in a way that is different from 1st boss</t>
    </r>
  </si>
  <si>
    <t>Buffs choices</t>
  </si>
  <si>
    <t>Player gains an option to choose one out of three possible random active buffs when meter is full.</t>
  </si>
  <si>
    <t>Makeshift Foil (Timer)</t>
  </si>
  <si>
    <t>Grants the player extra health temporarily.</t>
  </si>
  <si>
    <t>Different Attacking Abilities (Allies)</t>
  </si>
  <si>
    <t>A few different types of allies with different attacking abilities.</t>
  </si>
  <si>
    <t>Purchase mechanics</t>
  </si>
  <si>
    <t>Currencies can be used to buy upgrades and buffs.</t>
  </si>
  <si>
    <t>In-game currency drop logic</t>
  </si>
  <si>
    <t>Random drop by enemies, guaranteed drop by bosses</t>
  </si>
  <si>
    <t>Shop overlay</t>
  </si>
  <si>
    <t>To purchase active buffs, passive buffs, NPCs and barriers.​</t>
  </si>
  <si>
    <t>Stats interface overlay</t>
  </si>
  <si>
    <t>To view current upgrades</t>
  </si>
  <si>
    <t>Coin icon</t>
  </si>
  <si>
    <t>Chocolate coin drops from enemies to be used in shop</t>
  </si>
  <si>
    <t>On Hit Particle effect</t>
  </si>
  <si>
    <t>Have a simple on-hit effect when there is a collision</t>
  </si>
  <si>
    <t>Shop UI design</t>
  </si>
  <si>
    <t>2D art of the shop UI in game</t>
  </si>
  <si>
    <t>Particle Effects</t>
  </si>
  <si>
    <t>Playing of effects when doing actions or when collision happens</t>
  </si>
  <si>
    <t>Design of level 2</t>
  </si>
  <si>
    <t>The overall layout of level 2</t>
  </si>
  <si>
    <t>Traps</t>
  </si>
  <si>
    <t>Moving or static traps that will inflict damage to player upon contact.</t>
  </si>
  <si>
    <t>Here all members of the team declare their commitments to the project and check if the delegated workload is within what has been committed. At least 50% of the Planned Load needs to be Code tasks.
If the given excel sheet formula does not auto-fill the hours from the Backlog correctly, students are to fill it in manually.</t>
  </si>
  <si>
    <t>"Weekly Commitment"</t>
  </si>
  <si>
    <t>Each student needs to declare the number of hours per week that they will work on the project.
Every student has their own degree of ability to cope with this class and the other classes.
An honest and realistic answer to this needs to be set, to better control the scope of the project and by extension, the scope of work needed to be done per individual.</t>
  </si>
  <si>
    <t>"Total Commitment"</t>
  </si>
  <si>
    <t xml:space="preserve">The product of Weekly Commitment and the number of weeks committed to working on this project. This will represent the total amount of work that can be done by the individual. </t>
  </si>
  <si>
    <t>"Planned Load"</t>
  </si>
  <si>
    <t>Total workload assigned to this individual. Only counting tasks that are Must Have. These should not exceed the total number hours stated in Total Commitment.
There is an excel formula in that slot. Regardless if the formula works, the number in the cell must be reported correctly.</t>
  </si>
  <si>
    <t>"Code Load"</t>
  </si>
  <si>
    <t>Code Load should be more than or equal to half of the Planned Load. This is a class for Computer Science students, everyone needs to do that minimal amount of Code.</t>
  </si>
  <si>
    <t>Student Name</t>
  </si>
  <si>
    <t>Student DigiPen e-mail</t>
  </si>
  <si>
    <t>Weekly Commitment</t>
  </si>
  <si>
    <t>Total Commitment</t>
  </si>
  <si>
    <t>Planned Load (Must haves)</t>
  </si>
  <si>
    <t>Planned Code Load
(Must haves)</t>
  </si>
  <si>
    <t>Completed Load</t>
  </si>
  <si>
    <t xml:space="preserve">Completed 
Code Load
</t>
  </si>
  <si>
    <t>muhammadnurfadzly.b@digipen.edu</t>
  </si>
  <si>
    <t>zonghan.law@digipen.edu</t>
  </si>
  <si>
    <t>d.koh@digipen.edu</t>
  </si>
  <si>
    <t>Team Totals</t>
  </si>
  <si>
    <t>Task Types</t>
  </si>
  <si>
    <t>Description &amp; Requirements</t>
  </si>
  <si>
    <t>Requirements</t>
  </si>
  <si>
    <t>For tasks related to creating levels for the project. 
Ideally done without hardcoding all objects in the level within code.</t>
  </si>
  <si>
    <t xml:space="preserve">@Must have a beginning and an end
@Meaningful choices for the player to make
@Clear objective
</t>
  </si>
  <si>
    <t>For tasks related to creating visual art assets for the project. This includes fonts.
Fonts : There are some license free fonts allowed for use. Refer to forum post.
This should be kept to a minimum for RTIS and IMGD students.</t>
  </si>
  <si>
    <t>@Refer to the EULA that you signed at the start of the semester
@Do not use existing art assets even if they are "license free"
@Tools used in the generation of art assets must be license and cost free</t>
  </si>
  <si>
    <t>For tasks related to finding, creating and/or getting audio assets into the project. 
There are audio assets provided by the school via MetaDigger. Refer to forum post.
The tasks related to coding an audio system to play audio assets should be under "Code". The audio system is a coded feature.</t>
  </si>
  <si>
    <t>@Refer to the EULA that you signed at the start of the semester
@Usage of existing audio assets allowed only for those found in the school's MetaDigger
@Do not use external existing audio assets even if they are "license free", provided for or generated by tools
@Recording your own audio, editting it with a free tool and using that asset is allowed</t>
  </si>
  <si>
    <t xml:space="preserve">For tasks related to feature implementation and code integration.
Hardcoding levels and content for the game does not fall under this category. That would be under the task type of "Level"
</t>
  </si>
  <si>
    <t>@Feature functions as described and intended
@No crashes, warnings, errors from implementation
@Does not break existing features. If it does, those breaks should be fixed for this task to be done</t>
  </si>
  <si>
    <t>Bug Fix</t>
  </si>
  <si>
    <t>For tasks related to fixing bugs that have been detected. 
Debugging is expected to be done during coding and development, but not all bugs would get detected during that phase.</t>
  </si>
  <si>
    <t>@Symptoms identified with bugs gone
@No crashes, warnings, errors from implementation
@Does not break existing features. If it does, those breaks should be fixed for this task to be done</t>
  </si>
  <si>
    <t xml:space="preserve">For administrative tasks like:
@Team Meetings
@Presentation materials
@Production documents
@Marketing materials
</t>
  </si>
  <si>
    <t>Priorities</t>
  </si>
  <si>
    <t>Brief</t>
  </si>
  <si>
    <t>Completion</t>
  </si>
  <si>
    <t>Critical, cannot do without</t>
  </si>
  <si>
    <t>Important to the project but not vital</t>
  </si>
  <si>
    <t>No</t>
  </si>
  <si>
    <t>Could Have</t>
  </si>
  <si>
    <t>Nice to have</t>
  </si>
  <si>
    <t>Would not contribute to your project, can do without</t>
  </si>
  <si>
    <t>Grading</t>
  </si>
  <si>
    <t>Teams start with an "A" grade. Accumulated penalties will be applied to lower the grade.
Teams do not need to fill this page.
This page is only relevant for the very first plan submission.</t>
  </si>
  <si>
    <t>Penalties</t>
  </si>
  <si>
    <t>Penalty Range</t>
  </si>
  <si>
    <t>Penalty Given</t>
  </si>
  <si>
    <t>Feedback</t>
  </si>
  <si>
    <t>Step 2 "Week" not filled with the relevant week numbers.</t>
  </si>
  <si>
    <t>-1 per offending task</t>
  </si>
  <si>
    <t>Assigned tasks leads to member/s exceeding their time budget.
Example. Assignee commits 10 hours a week for 6 weeks. 61 hours of work were assigned. Penalty given.</t>
  </si>
  <si>
    <t>-2 per offending member</t>
  </si>
  <si>
    <t>Tasks are too vague.
Tasks title and/or description does not sufficiently inform the assignee the scope of work required and/or begin work.</t>
  </si>
  <si>
    <t>-1 per 10% of tasks</t>
  </si>
  <si>
    <t>Tasks too large. 
Requires more than a week of the assignee's commitment.
Break it down into smaller tasks.
Should a task require more than a week of work, a team can be set back significantly if that task is not completed by the allocated date.
Penalty is high to discourage this.</t>
  </si>
  <si>
    <t>Missing data on any of the Step pages.</t>
  </si>
  <si>
    <t>-1 per missing data field. A data field here is defined as a single excel cell.</t>
  </si>
  <si>
    <t>Workload not well distributed.
Difference between workloads between two or more members is greater than 20% of the workload done by the member with a smaller workload.</t>
  </si>
  <si>
    <t>-1 to -4</t>
  </si>
  <si>
    <t>Priorities and/or sequences of tasks work against the completion of the project.
Includes but not limited to:
- "Must Have" features left to the end of the production pipeline
- Key features not labelled as "Must Have"
- Tasks with pre-requisites are planned to be completed without the pre-requisites completed.</t>
  </si>
  <si>
    <t>Total Penalty</t>
  </si>
  <si>
    <t>Final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</si>
</sst>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font>
      <sz val="11"/>
      <color theme="1"/>
      <name val="Calibri"/>
      <family val="2"/>
      <scheme val="minor"/>
    </font>
    <font>
      <sz val="8"/>
      <name val="Calibri"/>
      <family val="2"/>
      <scheme val="minor"/>
    </font>
    <font>
      <u/>
      <sz val="11"/>
      <color theme="10"/>
      <name val="Calibri"/>
      <family val="2"/>
      <scheme val="minor"/>
    </font>
    <font>
      <sz val="11"/>
      <color theme="1"/>
      <name val="Calibri"/>
      <family val="2"/>
    </font>
    <font>
      <sz val="11"/>
      <color rgb="FF1A1A1A"/>
      <name val="Calibri"/>
      <family val="2"/>
    </font>
    <font>
      <sz val="11"/>
      <color theme="1"/>
      <name val="Calibri"/>
      <family val="2"/>
      <scheme val="minor"/>
    </font>
    <font>
      <sz val="11"/>
      <color theme="0"/>
      <name val="Calibri"/>
      <family val="2"/>
    </font>
    <font>
      <sz val="11"/>
      <color theme="0"/>
      <name val="Calibri"/>
      <family val="2"/>
      <scheme val="minor"/>
    </font>
    <font>
      <b/>
      <sz val="11"/>
      <color theme="1"/>
      <name val="Calibri"/>
      <family val="2"/>
      <scheme val="minor"/>
    </font>
    <font>
      <sz val="11"/>
      <color rgb="FF000000"/>
      <name val="Calibri"/>
      <family val="2"/>
    </font>
    <font>
      <sz val="11"/>
      <color rgb="FF000000"/>
      <name val="Calibri"/>
      <family val="2"/>
      <scheme val="minor"/>
    </font>
    <font>
      <sz val="11"/>
      <color rgb="FF000000"/>
      <name val="Calibri"/>
    </font>
    <font>
      <b/>
      <sz val="11"/>
      <color rgb="FF000000"/>
      <name val="Calibri"/>
    </font>
    <font>
      <sz val="11"/>
      <color rgb="FF000000"/>
      <name val="Calibri"/>
      <scheme val="minor"/>
    </font>
  </fonts>
  <fills count="13">
    <fill>
      <patternFill patternType="none"/>
    </fill>
    <fill>
      <patternFill patternType="gray125"/>
    </fill>
    <fill>
      <patternFill patternType="solid">
        <fgColor rgb="FFD9E2F3"/>
        <bgColor rgb="FFD9E2F3"/>
      </patternFill>
    </fill>
    <fill>
      <patternFill patternType="solid">
        <fgColor rgb="FFE7E6E6"/>
        <bgColor rgb="FFE7E6E6"/>
      </patternFill>
    </fill>
    <fill>
      <patternFill patternType="solid">
        <fgColor theme="4"/>
        <bgColor theme="4"/>
      </patternFill>
    </fill>
    <fill>
      <patternFill patternType="solid">
        <fgColor theme="9" tint="0.59999389629810485"/>
        <bgColor indexed="64"/>
      </patternFill>
    </fill>
    <fill>
      <patternFill patternType="solid">
        <fgColor theme="9" tint="-0.499984740745262"/>
        <bgColor indexed="64"/>
      </patternFill>
    </fill>
    <fill>
      <patternFill patternType="solid">
        <fgColor theme="9" tint="0.39997558519241921"/>
        <bgColor indexed="64"/>
      </patternFill>
    </fill>
    <fill>
      <patternFill patternType="solid">
        <fgColor theme="5" tint="-0.499984740745262"/>
        <bgColor indexed="64"/>
      </patternFill>
    </fill>
    <fill>
      <patternFill patternType="solid">
        <fgColor theme="5" tint="0.59999389629810485"/>
        <bgColor indexed="64"/>
      </patternFill>
    </fill>
    <fill>
      <patternFill patternType="solid">
        <fgColor theme="1"/>
        <bgColor theme="1"/>
      </patternFill>
    </fill>
    <fill>
      <patternFill patternType="solid">
        <fgColor theme="8" tint="-0.499984740745262"/>
        <bgColor theme="5"/>
      </patternFill>
    </fill>
    <fill>
      <patternFill patternType="solid">
        <fgColor theme="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bottom style="thin">
        <color rgb="FF000000"/>
      </bottom>
      <diagonal/>
    </border>
  </borders>
  <cellStyleXfs count="3">
    <xf numFmtId="0" fontId="0" fillId="0" borderId="0"/>
    <xf numFmtId="0" fontId="2" fillId="0" borderId="0" applyNumberFormat="0" applyFill="0" applyBorder="0" applyAlignment="0" applyProtection="0"/>
    <xf numFmtId="0" fontId="5" fillId="0" borderId="0"/>
  </cellStyleXfs>
  <cellXfs count="60">
    <xf numFmtId="0" fontId="0" fillId="0" borderId="0" xfId="0"/>
    <xf numFmtId="0" fontId="5" fillId="0" borderId="0" xfId="2"/>
    <xf numFmtId="49" fontId="3" fillId="3" borderId="1" xfId="2" applyNumberFormat="1" applyFont="1" applyFill="1" applyBorder="1" applyAlignment="1">
      <alignment horizontal="left" vertical="top" wrapText="1"/>
    </xf>
    <xf numFmtId="0" fontId="5" fillId="2" borderId="1" xfId="2" applyFill="1" applyBorder="1" applyAlignment="1">
      <alignment horizontal="center" vertical="center"/>
    </xf>
    <xf numFmtId="49" fontId="3" fillId="3" borderId="2" xfId="2" applyNumberFormat="1" applyFont="1" applyFill="1" applyBorder="1" applyAlignment="1">
      <alignment horizontal="left" vertical="center" wrapText="1"/>
    </xf>
    <xf numFmtId="49" fontId="3" fillId="3" borderId="2" xfId="2" applyNumberFormat="1" applyFont="1" applyFill="1" applyBorder="1" applyAlignment="1">
      <alignment vertical="center" wrapText="1"/>
    </xf>
    <xf numFmtId="0" fontId="3" fillId="0" borderId="2" xfId="2" applyFont="1" applyBorder="1" applyAlignment="1">
      <alignment horizontal="center" vertical="center"/>
    </xf>
    <xf numFmtId="49" fontId="3" fillId="3" borderId="1" xfId="2" applyNumberFormat="1" applyFont="1" applyFill="1" applyBorder="1" applyAlignment="1">
      <alignment horizontal="left" vertical="center" wrapText="1"/>
    </xf>
    <xf numFmtId="49" fontId="3" fillId="3" borderId="1" xfId="2" applyNumberFormat="1" applyFont="1" applyFill="1" applyBorder="1" applyAlignment="1">
      <alignment wrapText="1"/>
    </xf>
    <xf numFmtId="0" fontId="4" fillId="0" borderId="1" xfId="2" applyFont="1" applyBorder="1" applyAlignment="1">
      <alignment horizontal="center" vertical="center"/>
    </xf>
    <xf numFmtId="49" fontId="3" fillId="3" borderId="1" xfId="2" applyNumberFormat="1" applyFont="1" applyFill="1" applyBorder="1" applyAlignment="1">
      <alignment vertical="center" wrapText="1"/>
    </xf>
    <xf numFmtId="0" fontId="3" fillId="0" borderId="1" xfId="2" applyFont="1" applyBorder="1" applyAlignment="1">
      <alignment horizontal="center" vertical="center"/>
    </xf>
    <xf numFmtId="0" fontId="6" fillId="4" borderId="1" xfId="2" applyFont="1" applyFill="1" applyBorder="1" applyAlignment="1">
      <alignment horizontal="center" vertical="center"/>
    </xf>
    <xf numFmtId="0" fontId="6" fillId="4" borderId="1" xfId="2" applyFont="1" applyFill="1" applyBorder="1" applyAlignment="1">
      <alignment horizontal="center"/>
    </xf>
    <xf numFmtId="0" fontId="6" fillId="4" borderId="1" xfId="2" applyFont="1" applyFill="1" applyBorder="1"/>
    <xf numFmtId="0" fontId="0" fillId="0" borderId="0" xfId="0" applyAlignment="1">
      <alignment vertical="center" wrapText="1"/>
    </xf>
    <xf numFmtId="0" fontId="0" fillId="0" borderId="0" xfId="0" applyAlignment="1">
      <alignment vertical="top" wrapText="1"/>
    </xf>
    <xf numFmtId="0" fontId="0" fillId="0" borderId="3" xfId="0" applyBorder="1" applyAlignment="1">
      <alignment vertical="top" wrapText="1"/>
    </xf>
    <xf numFmtId="0" fontId="0" fillId="0" borderId="3" xfId="0" applyBorder="1"/>
    <xf numFmtId="0" fontId="7" fillId="8" borderId="3" xfId="0" applyFont="1" applyFill="1" applyBorder="1" applyAlignment="1">
      <alignment horizontal="center" vertical="top" wrapText="1"/>
    </xf>
    <xf numFmtId="0" fontId="0" fillId="0" borderId="3" xfId="0" applyBorder="1" applyAlignment="1">
      <alignment wrapText="1"/>
    </xf>
    <xf numFmtId="0" fontId="2" fillId="0" borderId="3" xfId="1" applyBorder="1"/>
    <xf numFmtId="0" fontId="0" fillId="3" borderId="1" xfId="2" applyFont="1" applyFill="1" applyBorder="1" applyAlignment="1">
      <alignment wrapText="1"/>
    </xf>
    <xf numFmtId="0" fontId="7" fillId="0" borderId="0" xfId="0" applyFont="1" applyAlignment="1">
      <alignment vertical="center" wrapText="1"/>
    </xf>
    <xf numFmtId="0" fontId="7" fillId="0" borderId="1" xfId="0" applyFont="1" applyBorder="1" applyAlignment="1">
      <alignment vertical="center" wrapText="1"/>
    </xf>
    <xf numFmtId="0" fontId="7" fillId="0" borderId="1" xfId="0" applyFont="1" applyBorder="1"/>
    <xf numFmtId="0" fontId="7" fillId="6" borderId="5" xfId="0" applyFont="1" applyFill="1" applyBorder="1" applyAlignment="1">
      <alignment horizontal="center" vertical="top" wrapText="1"/>
    </xf>
    <xf numFmtId="0" fontId="0" fillId="5" borderId="4" xfId="0" applyFill="1" applyBorder="1" applyAlignment="1">
      <alignment vertical="top" wrapText="1"/>
    </xf>
    <xf numFmtId="0" fontId="0" fillId="0" borderId="3" xfId="0" applyBorder="1" applyAlignment="1">
      <alignment horizontal="left" vertical="center" wrapText="1"/>
    </xf>
    <xf numFmtId="0" fontId="0" fillId="0" borderId="3" xfId="0" applyBorder="1" applyAlignment="1">
      <alignment horizontal="left" vertical="top" wrapText="1"/>
    </xf>
    <xf numFmtId="0" fontId="0" fillId="0" borderId="3" xfId="0" applyBorder="1" applyAlignment="1">
      <alignment horizontal="left"/>
    </xf>
    <xf numFmtId="0" fontId="8" fillId="0" borderId="3" xfId="0" applyFont="1" applyBorder="1" applyAlignment="1">
      <alignment horizontal="center" vertical="top" wrapText="1"/>
    </xf>
    <xf numFmtId="0" fontId="0" fillId="0" borderId="6" xfId="0" applyBorder="1"/>
    <xf numFmtId="0" fontId="0" fillId="0" borderId="1" xfId="0" applyBorder="1"/>
    <xf numFmtId="0" fontId="5" fillId="0" borderId="0" xfId="0" applyFont="1" applyAlignment="1">
      <alignment vertical="center" wrapText="1"/>
    </xf>
    <xf numFmtId="0" fontId="5" fillId="0" borderId="1" xfId="0" applyFont="1" applyBorder="1" applyAlignment="1">
      <alignment vertical="center" wrapText="1"/>
    </xf>
    <xf numFmtId="49" fontId="5" fillId="0" borderId="1" xfId="0" applyNumberFormat="1" applyFont="1" applyBorder="1" applyAlignment="1">
      <alignment horizontal="center" vertical="center" wrapText="1"/>
    </xf>
    <xf numFmtId="0" fontId="5" fillId="0" borderId="1" xfId="0" applyFont="1" applyBorder="1"/>
    <xf numFmtId="0" fontId="5" fillId="0" borderId="0" xfId="0" applyFont="1"/>
    <xf numFmtId="0" fontId="9" fillId="0" borderId="1" xfId="0" applyFont="1" applyBorder="1" applyAlignment="1">
      <alignment wrapText="1"/>
    </xf>
    <xf numFmtId="0" fontId="0" fillId="0" borderId="1" xfId="0" applyBorder="1" applyAlignment="1">
      <alignment wrapText="1"/>
    </xf>
    <xf numFmtId="0" fontId="11" fillId="0" borderId="1" xfId="0" applyFont="1" applyBorder="1" applyAlignment="1">
      <alignment wrapText="1"/>
    </xf>
    <xf numFmtId="0" fontId="8" fillId="0" borderId="1" xfId="0" applyFont="1" applyBorder="1" applyAlignment="1">
      <alignment wrapText="1"/>
    </xf>
    <xf numFmtId="0" fontId="0" fillId="0" borderId="2" xfId="0" applyBorder="1"/>
    <xf numFmtId="0" fontId="0" fillId="12" borderId="1" xfId="0" applyFill="1" applyBorder="1"/>
    <xf numFmtId="0" fontId="13" fillId="0" borderId="1" xfId="0" applyFont="1" applyBorder="1" applyAlignment="1">
      <alignment wrapText="1"/>
    </xf>
    <xf numFmtId="0" fontId="0" fillId="0" borderId="8" xfId="0" applyBorder="1"/>
    <xf numFmtId="0" fontId="10" fillId="0" borderId="6" xfId="0" applyFont="1" applyBorder="1"/>
    <xf numFmtId="0" fontId="10" fillId="0" borderId="3" xfId="0" applyFont="1" applyBorder="1"/>
    <xf numFmtId="0" fontId="10" fillId="0" borderId="6" xfId="0" applyFont="1" applyBorder="1" applyAlignment="1">
      <alignment wrapText="1"/>
    </xf>
    <xf numFmtId="0" fontId="9" fillId="0" borderId="3" xfId="0" applyFont="1" applyBorder="1" applyAlignment="1">
      <alignment wrapText="1"/>
    </xf>
    <xf numFmtId="0" fontId="10" fillId="0" borderId="3" xfId="0" applyFont="1" applyBorder="1" applyAlignment="1">
      <alignment wrapText="1"/>
    </xf>
    <xf numFmtId="0" fontId="0" fillId="12" borderId="6" xfId="0" applyFill="1" applyBorder="1"/>
    <xf numFmtId="0" fontId="0" fillId="12" borderId="3" xfId="0" applyFill="1" applyBorder="1"/>
    <xf numFmtId="0" fontId="0" fillId="5" borderId="7" xfId="0" applyFill="1" applyBorder="1" applyAlignment="1">
      <alignment horizontal="center" vertical="top" wrapText="1"/>
    </xf>
    <xf numFmtId="0" fontId="7" fillId="6" borderId="3" xfId="0" applyFont="1" applyFill="1" applyBorder="1" applyAlignment="1">
      <alignment horizontal="center"/>
    </xf>
    <xf numFmtId="0" fontId="0" fillId="9" borderId="3" xfId="0" applyFill="1" applyBorder="1" applyAlignment="1">
      <alignment horizontal="center" vertical="top" wrapText="1"/>
    </xf>
    <xf numFmtId="0" fontId="0" fillId="7" borderId="3" xfId="0" applyFill="1" applyBorder="1" applyAlignment="1">
      <alignment horizontal="center" vertical="top" wrapText="1"/>
    </xf>
    <xf numFmtId="0" fontId="7" fillId="10" borderId="0" xfId="0" applyFont="1" applyFill="1" applyAlignment="1">
      <alignment horizontal="center" vertical="center" wrapText="1"/>
    </xf>
    <xf numFmtId="0" fontId="7" fillId="11" borderId="0" xfId="0" applyFont="1" applyFill="1" applyAlignment="1">
      <alignment horizontal="center" vertical="center" wrapText="1"/>
    </xf>
  </cellXfs>
  <cellStyles count="3">
    <cellStyle name="Hyperlink" xfId="1" builtinId="8"/>
    <cellStyle name="Normal" xfId="0" builtinId="0"/>
    <cellStyle name="Normal 2" xfId="2" xr:uid="{5317CFDF-33D6-46E4-973D-BE9C5AB486AA}"/>
  </cellStyles>
  <dxfs count="17">
    <dxf>
      <border outline="0">
        <left style="thin">
          <color rgb="FF000000"/>
        </left>
      </border>
    </dxf>
    <dxf>
      <numFmt numFmtId="30" formatCode="@"/>
    </dxf>
    <dxf>
      <border outline="0">
        <right style="thin">
          <color rgb="FF000000"/>
        </right>
      </border>
    </dxf>
    <dxf>
      <fill>
        <patternFill patternType="solid">
          <fgColor rgb="FFFFC000"/>
          <bgColor rgb="FFFFC000"/>
        </patternFill>
      </fill>
    </dxf>
    <dxf>
      <fill>
        <patternFill patternType="solid">
          <fgColor rgb="FFFFFF00"/>
          <bgColor rgb="FFFFFF00"/>
        </patternFill>
      </fill>
    </dxf>
    <dxf>
      <fill>
        <patternFill patternType="solid">
          <fgColor rgb="FFFF33CC"/>
          <bgColor rgb="FFFF33CC"/>
        </patternFill>
      </fill>
    </dxf>
    <dxf>
      <fill>
        <patternFill patternType="solid">
          <fgColor rgb="FF00B0F0"/>
          <bgColor rgb="FF00B0F0"/>
        </patternFill>
      </fill>
    </dxf>
    <dxf>
      <fill>
        <patternFill patternType="solid">
          <fgColor rgb="FF92D050"/>
          <bgColor rgb="FF92D05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s>
  <tableStyles count="2" defaultTableStyle="TableStyleMedium2" defaultPivotStyle="PivotStyleLight16">
    <tableStyle name="Grading-style" pivot="0" count="3" xr9:uid="{16C91888-35BB-4902-99E5-37504A6D3FA1}">
      <tableStyleElement type="headerRow" dxfId="16"/>
      <tableStyleElement type="firstRowStripe" dxfId="15"/>
      <tableStyleElement type="secondRowStripe" dxfId="14"/>
    </tableStyle>
    <tableStyle name="Priorities-style" pivot="0" count="3" xr9:uid="{7D48F84A-906C-4F1E-BDC7-60C49CBB0770}">
      <tableStyleElement type="headerRow" dxfId="13"/>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493CF-EDC1-4F34-BB33-A8E39C4E5036}" name="Table_7" displayName="Table_7" ref="A1:B5">
  <tableColumns count="2">
    <tableColumn id="1" xr3:uid="{00000000-0010-0000-0600-000001000000}" name="Priorities"/>
    <tableColumn id="2" xr3:uid="{00000000-0010-0000-0600-000002000000}" name="Brief"/>
  </tableColumns>
  <tableStyleInfo name="Priori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98EBE5-704E-46F9-BA6B-39926972393F}" name="Table_6" displayName="Table_6" ref="A4:D11">
  <tableColumns count="4">
    <tableColumn id="1" xr3:uid="{B759C9BE-746D-4CC7-9A93-553FC4CD0328}" name="Penalties" dataDxfId="2"/>
    <tableColumn id="2" xr3:uid="{2B80EF72-F64E-4CF6-92EC-B2EFBB4583D2}" name="Penalty Range" dataDxfId="1"/>
    <tableColumn id="3" xr3:uid="{0266A72C-927D-4F37-86EE-31CDF3B9BD68}" name="Penalty Given" dataDxfId="0"/>
    <tableColumn id="4" xr3:uid="{1EB74207-3D1F-4EA2-AEC1-18FDD804852B}" name="Feedback"/>
  </tableColumns>
  <tableStyleInfo name="Grading-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mailto:d.koh@digipen.edu" TargetMode="External"/><Relationship Id="rId2" Type="http://schemas.openxmlformats.org/officeDocument/2006/relationships/hyperlink" Target="mailto:zonghan.law@digipen.edu" TargetMode="External"/><Relationship Id="rId1" Type="http://schemas.openxmlformats.org/officeDocument/2006/relationships/hyperlink" Target="mailto:muhammadnurfadzly.b@digipen.edu"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5F11-9D6A-4415-AB58-8B3DD2F8E2CA}">
  <dimension ref="A1:B24"/>
  <sheetViews>
    <sheetView zoomScale="160" zoomScaleNormal="160" workbookViewId="0">
      <selection activeCell="C18" sqref="C18"/>
    </sheetView>
  </sheetViews>
  <sheetFormatPr defaultColWidth="8.85546875" defaultRowHeight="15"/>
  <cols>
    <col min="1" max="1" width="50.7109375" style="17" customWidth="1"/>
    <col min="2" max="2" width="44.42578125" customWidth="1"/>
  </cols>
  <sheetData>
    <row r="1" spans="1:2">
      <c r="A1" s="26"/>
    </row>
    <row r="2" spans="1:2" ht="113.25" customHeight="1">
      <c r="A2" s="27" t="s">
        <v>0</v>
      </c>
      <c r="B2" s="16"/>
    </row>
    <row r="3" spans="1:2">
      <c r="A3" s="31" t="s">
        <v>1</v>
      </c>
    </row>
    <row r="4" spans="1:2">
      <c r="A4" s="29" t="s">
        <v>2</v>
      </c>
      <c r="B4" s="15"/>
    </row>
    <row r="5" spans="1:2">
      <c r="A5" s="29" t="s">
        <v>3</v>
      </c>
    </row>
    <row r="6" spans="1:2">
      <c r="A6" s="30" t="s">
        <v>4</v>
      </c>
    </row>
    <row r="7" spans="1:2">
      <c r="A7" s="29" t="s">
        <v>5</v>
      </c>
    </row>
    <row r="8" spans="1:2">
      <c r="A8" s="29" t="s">
        <v>6</v>
      </c>
    </row>
    <row r="9" spans="1:2">
      <c r="A9" s="29" t="s">
        <v>7</v>
      </c>
    </row>
    <row r="10" spans="1:2">
      <c r="A10" s="29" t="s">
        <v>8</v>
      </c>
    </row>
    <row r="11" spans="1:2">
      <c r="A11" s="29" t="s">
        <v>9</v>
      </c>
    </row>
    <row r="12" spans="1:2">
      <c r="A12" s="29" t="s">
        <v>10</v>
      </c>
    </row>
    <row r="13" spans="1:2">
      <c r="A13" s="28" t="s">
        <v>11</v>
      </c>
    </row>
    <row r="14" spans="1:2">
      <c r="A14" s="29" t="s">
        <v>12</v>
      </c>
    </row>
    <row r="15" spans="1:2">
      <c r="A15" s="29" t="s">
        <v>13</v>
      </c>
    </row>
    <row r="16" spans="1:2">
      <c r="A16" s="17" t="s">
        <v>14</v>
      </c>
    </row>
    <row r="17" spans="1:1">
      <c r="A17" s="29" t="s">
        <v>15</v>
      </c>
    </row>
    <row r="18" spans="1:1">
      <c r="A18" s="29"/>
    </row>
    <row r="19" spans="1:1">
      <c r="A19" s="29"/>
    </row>
    <row r="20" spans="1:1">
      <c r="A20" s="29"/>
    </row>
    <row r="21" spans="1:1">
      <c r="A21" s="29"/>
    </row>
    <row r="22" spans="1:1">
      <c r="A22" s="29"/>
    </row>
    <row r="23" spans="1:1">
      <c r="A23" s="29"/>
    </row>
    <row r="24" spans="1:1">
      <c r="A24" s="2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609B2-C661-4021-8956-60A8234CFB90}">
  <dimension ref="A1:I110"/>
  <sheetViews>
    <sheetView tabSelected="1" topLeftCell="A66" workbookViewId="0">
      <selection activeCell="A81" sqref="A81:XFD84"/>
    </sheetView>
  </sheetViews>
  <sheetFormatPr defaultColWidth="8.85546875" defaultRowHeight="15"/>
  <cols>
    <col min="1" max="1" width="17.7109375" style="18" customWidth="1"/>
    <col min="2" max="2" width="15.28515625" style="18" customWidth="1"/>
    <col min="3" max="3" width="36.7109375" style="18" customWidth="1"/>
    <col min="4" max="4" width="67.140625" style="18" bestFit="1" customWidth="1"/>
    <col min="5" max="6" width="9.140625" style="18"/>
    <col min="7" max="7" width="14.42578125" style="18" bestFit="1" customWidth="1"/>
    <col min="8" max="8" width="9.140625" style="18"/>
    <col min="9" max="9" width="17.140625" style="18" customWidth="1"/>
  </cols>
  <sheetData>
    <row r="1" spans="1:9">
      <c r="A1" s="55" t="s">
        <v>16</v>
      </c>
      <c r="B1" s="55"/>
      <c r="C1" s="55"/>
      <c r="D1" s="55"/>
      <c r="E1" s="55"/>
      <c r="F1" s="55"/>
      <c r="G1" s="55"/>
      <c r="H1" s="55"/>
      <c r="I1" s="55"/>
    </row>
    <row r="2" spans="1:9" ht="208.5" customHeight="1">
      <c r="A2" s="54" t="s">
        <v>17</v>
      </c>
      <c r="B2" s="54"/>
      <c r="C2" s="54"/>
      <c r="D2" s="54"/>
      <c r="E2" s="54"/>
      <c r="F2" s="54"/>
      <c r="G2" s="54"/>
      <c r="H2" s="54"/>
      <c r="I2" s="54"/>
    </row>
    <row r="3" spans="1:9">
      <c r="A3" s="43"/>
      <c r="B3" s="43"/>
      <c r="C3" s="43"/>
      <c r="D3" s="43"/>
      <c r="E3" s="43"/>
      <c r="F3" s="43"/>
      <c r="G3" s="43"/>
      <c r="H3" s="43"/>
      <c r="I3" s="43"/>
    </row>
    <row r="4" spans="1:9" ht="30">
      <c r="A4" s="42" t="s">
        <v>1</v>
      </c>
      <c r="B4" s="42" t="s">
        <v>18</v>
      </c>
      <c r="C4" s="42" t="s">
        <v>19</v>
      </c>
      <c r="D4" s="42" t="s">
        <v>20</v>
      </c>
      <c r="E4" s="42" t="s">
        <v>21</v>
      </c>
      <c r="F4" s="42" t="s">
        <v>22</v>
      </c>
      <c r="G4" s="42" t="s">
        <v>23</v>
      </c>
      <c r="H4" s="42" t="s">
        <v>24</v>
      </c>
      <c r="I4" s="42" t="s">
        <v>25</v>
      </c>
    </row>
    <row r="5" spans="1:9">
      <c r="A5" s="33" t="s">
        <v>4</v>
      </c>
      <c r="B5" s="33" t="s">
        <v>26</v>
      </c>
      <c r="C5" s="33" t="s">
        <v>27</v>
      </c>
      <c r="D5" s="41" t="s">
        <v>28</v>
      </c>
      <c r="E5" s="33">
        <v>1</v>
      </c>
      <c r="F5" s="33">
        <v>8</v>
      </c>
      <c r="G5" s="33" t="s">
        <v>29</v>
      </c>
      <c r="H5" s="33" t="s">
        <v>30</v>
      </c>
      <c r="I5" s="33" t="s">
        <v>31</v>
      </c>
    </row>
    <row r="6" spans="1:9" ht="30">
      <c r="A6" s="33" t="s">
        <v>4</v>
      </c>
      <c r="B6" s="33" t="s">
        <v>26</v>
      </c>
      <c r="C6" s="33" t="s">
        <v>32</v>
      </c>
      <c r="D6" s="39" t="s">
        <v>33</v>
      </c>
      <c r="E6" s="33">
        <v>2</v>
      </c>
      <c r="F6" s="33">
        <v>8</v>
      </c>
      <c r="G6" s="33" t="s">
        <v>29</v>
      </c>
      <c r="H6" s="33" t="s">
        <v>30</v>
      </c>
      <c r="I6" s="33" t="s">
        <v>31</v>
      </c>
    </row>
    <row r="7" spans="1:9" ht="30">
      <c r="A7" s="33" t="s">
        <v>3</v>
      </c>
      <c r="B7" s="33" t="s">
        <v>26</v>
      </c>
      <c r="C7" s="39" t="s">
        <v>34</v>
      </c>
      <c r="D7" s="40" t="s">
        <v>35</v>
      </c>
      <c r="E7" s="33">
        <v>2</v>
      </c>
      <c r="F7" s="33">
        <v>8</v>
      </c>
      <c r="G7" s="44" t="s">
        <v>36</v>
      </c>
      <c r="H7" s="33" t="s">
        <v>30</v>
      </c>
      <c r="I7" s="33" t="s">
        <v>31</v>
      </c>
    </row>
    <row r="8" spans="1:9">
      <c r="A8" s="33" t="s">
        <v>10</v>
      </c>
      <c r="B8" s="33" t="s">
        <v>26</v>
      </c>
      <c r="C8" s="33" t="s">
        <v>37</v>
      </c>
      <c r="D8" s="40" t="s">
        <v>38</v>
      </c>
      <c r="E8" s="33">
        <v>2</v>
      </c>
      <c r="F8" s="33">
        <v>8</v>
      </c>
      <c r="G8" s="33" t="s">
        <v>36</v>
      </c>
      <c r="H8" s="33" t="s">
        <v>30</v>
      </c>
      <c r="I8" s="33" t="s">
        <v>31</v>
      </c>
    </row>
    <row r="9" spans="1:9">
      <c r="A9" s="33" t="s">
        <v>3</v>
      </c>
      <c r="B9" s="33" t="s">
        <v>26</v>
      </c>
      <c r="C9" s="33" t="s">
        <v>39</v>
      </c>
      <c r="D9" s="41" t="s">
        <v>40</v>
      </c>
      <c r="E9" s="33">
        <v>2</v>
      </c>
      <c r="F9" s="33">
        <v>8</v>
      </c>
      <c r="G9" s="33" t="s">
        <v>36</v>
      </c>
      <c r="H9" s="33" t="s">
        <v>30</v>
      </c>
      <c r="I9" s="33" t="s">
        <v>31</v>
      </c>
    </row>
    <row r="10" spans="1:9">
      <c r="A10" s="33" t="s">
        <v>6</v>
      </c>
      <c r="B10" s="33" t="s">
        <v>26</v>
      </c>
      <c r="C10" s="33" t="s">
        <v>41</v>
      </c>
      <c r="D10" s="39" t="s">
        <v>42</v>
      </c>
      <c r="E10" s="33">
        <v>2</v>
      </c>
      <c r="F10" s="33">
        <v>8</v>
      </c>
      <c r="G10" s="33" t="s">
        <v>43</v>
      </c>
      <c r="H10" s="33" t="s">
        <v>30</v>
      </c>
      <c r="I10" s="33" t="s">
        <v>31</v>
      </c>
    </row>
    <row r="11" spans="1:9" ht="27.75" customHeight="1">
      <c r="A11" s="33" t="s">
        <v>6</v>
      </c>
      <c r="B11" s="33" t="s">
        <v>26</v>
      </c>
      <c r="C11" s="39" t="s">
        <v>44</v>
      </c>
      <c r="D11" s="39" t="s">
        <v>45</v>
      </c>
      <c r="E11" s="33">
        <v>0.5</v>
      </c>
      <c r="F11" s="33">
        <v>8</v>
      </c>
      <c r="G11" s="33" t="s">
        <v>43</v>
      </c>
      <c r="H11" s="33" t="s">
        <v>30</v>
      </c>
      <c r="I11" s="33" t="s">
        <v>31</v>
      </c>
    </row>
    <row r="12" spans="1:9">
      <c r="A12" s="33" t="s">
        <v>6</v>
      </c>
      <c r="B12" s="33" t="s">
        <v>26</v>
      </c>
      <c r="C12" s="33" t="s">
        <v>46</v>
      </c>
      <c r="D12" s="33" t="s">
        <v>47</v>
      </c>
      <c r="E12" s="33">
        <v>1</v>
      </c>
      <c r="F12" s="33">
        <v>8</v>
      </c>
      <c r="G12" s="33" t="s">
        <v>43</v>
      </c>
      <c r="H12" s="33" t="s">
        <v>30</v>
      </c>
      <c r="I12" s="33" t="s">
        <v>31</v>
      </c>
    </row>
    <row r="13" spans="1:9">
      <c r="A13" s="33" t="s">
        <v>6</v>
      </c>
      <c r="B13" s="33" t="s">
        <v>26</v>
      </c>
      <c r="C13" s="39" t="s">
        <v>48</v>
      </c>
      <c r="D13" s="39" t="s">
        <v>49</v>
      </c>
      <c r="E13" s="33">
        <v>0.5</v>
      </c>
      <c r="F13" s="33">
        <v>8</v>
      </c>
      <c r="G13" s="33" t="s">
        <v>43</v>
      </c>
      <c r="H13" s="33" t="s">
        <v>30</v>
      </c>
      <c r="I13" s="33" t="s">
        <v>31</v>
      </c>
    </row>
    <row r="14" spans="1:9">
      <c r="A14" s="33" t="s">
        <v>6</v>
      </c>
      <c r="B14" s="33" t="s">
        <v>26</v>
      </c>
      <c r="C14" s="39" t="s">
        <v>50</v>
      </c>
      <c r="D14" s="39" t="s">
        <v>51</v>
      </c>
      <c r="E14" s="33">
        <v>0.5</v>
      </c>
      <c r="F14" s="33">
        <v>8</v>
      </c>
      <c r="G14" s="33" t="s">
        <v>43</v>
      </c>
      <c r="H14" s="33" t="s">
        <v>30</v>
      </c>
      <c r="I14" s="33" t="s">
        <v>31</v>
      </c>
    </row>
    <row r="15" spans="1:9">
      <c r="A15" s="33" t="s">
        <v>6</v>
      </c>
      <c r="B15" s="33" t="s">
        <v>26</v>
      </c>
      <c r="C15" s="33" t="s">
        <v>52</v>
      </c>
      <c r="D15" s="39" t="s">
        <v>53</v>
      </c>
      <c r="E15" s="33">
        <v>1</v>
      </c>
      <c r="F15" s="33">
        <v>8</v>
      </c>
      <c r="G15" s="33" t="s">
        <v>43</v>
      </c>
      <c r="H15" s="33" t="s">
        <v>30</v>
      </c>
      <c r="I15" s="33" t="s">
        <v>31</v>
      </c>
    </row>
    <row r="16" spans="1:9">
      <c r="A16" s="33" t="s">
        <v>6</v>
      </c>
      <c r="B16" s="33" t="s">
        <v>26</v>
      </c>
      <c r="C16" s="39" t="s">
        <v>54</v>
      </c>
      <c r="D16" s="39" t="s">
        <v>55</v>
      </c>
      <c r="E16" s="33">
        <v>2</v>
      </c>
      <c r="F16" s="33">
        <v>8</v>
      </c>
      <c r="G16" s="33" t="s">
        <v>43</v>
      </c>
      <c r="H16" s="33" t="s">
        <v>30</v>
      </c>
      <c r="I16" s="33" t="s">
        <v>31</v>
      </c>
    </row>
    <row r="17" spans="1:9" ht="30">
      <c r="A17" s="40" t="s">
        <v>8</v>
      </c>
      <c r="B17" s="33" t="s">
        <v>26</v>
      </c>
      <c r="C17" s="39" t="s">
        <v>56</v>
      </c>
      <c r="D17" s="39" t="s">
        <v>57</v>
      </c>
      <c r="E17" s="33">
        <v>0.5</v>
      </c>
      <c r="F17" s="33">
        <v>8</v>
      </c>
      <c r="G17" s="33" t="s">
        <v>43</v>
      </c>
      <c r="H17" s="33" t="s">
        <v>30</v>
      </c>
      <c r="I17" s="33" t="s">
        <v>31</v>
      </c>
    </row>
    <row r="18" spans="1:9" ht="30">
      <c r="A18" s="33" t="s">
        <v>2</v>
      </c>
      <c r="B18" s="33" t="s">
        <v>26</v>
      </c>
      <c r="C18" s="33" t="s">
        <v>58</v>
      </c>
      <c r="D18" s="41" t="s">
        <v>59</v>
      </c>
      <c r="E18" s="33">
        <v>2</v>
      </c>
      <c r="F18" s="33">
        <v>8</v>
      </c>
      <c r="G18" s="33" t="s">
        <v>29</v>
      </c>
      <c r="H18" s="33" t="s">
        <v>30</v>
      </c>
      <c r="I18" s="33" t="s">
        <v>31</v>
      </c>
    </row>
    <row r="19" spans="1:9">
      <c r="A19" s="33" t="s">
        <v>2</v>
      </c>
      <c r="B19" s="33" t="s">
        <v>26</v>
      </c>
      <c r="C19" s="33" t="s">
        <v>60</v>
      </c>
      <c r="D19" s="39" t="s">
        <v>61</v>
      </c>
      <c r="E19" s="33">
        <v>2</v>
      </c>
      <c r="F19" s="33">
        <v>8</v>
      </c>
      <c r="G19" s="33" t="s">
        <v>29</v>
      </c>
      <c r="H19" s="33" t="s">
        <v>30</v>
      </c>
      <c r="I19" s="33" t="s">
        <v>31</v>
      </c>
    </row>
    <row r="20" spans="1:9" ht="30">
      <c r="A20" s="33" t="s">
        <v>4</v>
      </c>
      <c r="B20" s="33" t="s">
        <v>26</v>
      </c>
      <c r="C20" s="33" t="s">
        <v>62</v>
      </c>
      <c r="D20" s="39" t="s">
        <v>63</v>
      </c>
      <c r="E20" s="33">
        <v>1</v>
      </c>
      <c r="F20" s="33">
        <v>9</v>
      </c>
      <c r="G20" s="44" t="s">
        <v>43</v>
      </c>
      <c r="H20" s="33" t="s">
        <v>30</v>
      </c>
      <c r="I20" s="33" t="s">
        <v>31</v>
      </c>
    </row>
    <row r="21" spans="1:9">
      <c r="A21" s="33" t="s">
        <v>12</v>
      </c>
      <c r="B21" s="33" t="s">
        <v>26</v>
      </c>
      <c r="C21" s="33" t="s">
        <v>64</v>
      </c>
      <c r="D21" s="40" t="s">
        <v>65</v>
      </c>
      <c r="E21" s="33">
        <v>3</v>
      </c>
      <c r="F21" s="33">
        <v>9</v>
      </c>
      <c r="G21" s="44" t="s">
        <v>29</v>
      </c>
      <c r="H21" s="33" t="s">
        <v>30</v>
      </c>
      <c r="I21" s="33" t="s">
        <v>31</v>
      </c>
    </row>
    <row r="22" spans="1:9" ht="45">
      <c r="A22" s="33" t="s">
        <v>3</v>
      </c>
      <c r="B22" s="33" t="s">
        <v>26</v>
      </c>
      <c r="C22" s="33" t="s">
        <v>66</v>
      </c>
      <c r="D22" s="39" t="s">
        <v>67</v>
      </c>
      <c r="E22" s="33">
        <v>4</v>
      </c>
      <c r="F22" s="33">
        <v>9</v>
      </c>
      <c r="G22" s="33" t="s">
        <v>36</v>
      </c>
      <c r="H22" s="33" t="s">
        <v>30</v>
      </c>
      <c r="I22" s="33" t="s">
        <v>31</v>
      </c>
    </row>
    <row r="23" spans="1:9" ht="30">
      <c r="A23" s="33" t="s">
        <v>2</v>
      </c>
      <c r="B23" s="33" t="s">
        <v>26</v>
      </c>
      <c r="C23" s="33" t="s">
        <v>68</v>
      </c>
      <c r="D23" s="39" t="s">
        <v>69</v>
      </c>
      <c r="E23" s="33">
        <v>3</v>
      </c>
      <c r="F23" s="33">
        <v>9</v>
      </c>
      <c r="G23" s="44" t="s">
        <v>36</v>
      </c>
      <c r="H23" s="33" t="s">
        <v>30</v>
      </c>
      <c r="I23" s="33" t="s">
        <v>31</v>
      </c>
    </row>
    <row r="24" spans="1:9" ht="30">
      <c r="A24" s="33" t="s">
        <v>11</v>
      </c>
      <c r="B24" s="33" t="s">
        <v>26</v>
      </c>
      <c r="C24" s="33" t="s">
        <v>70</v>
      </c>
      <c r="D24" s="40" t="s">
        <v>71</v>
      </c>
      <c r="E24" s="33">
        <v>5</v>
      </c>
      <c r="F24" s="33">
        <v>9</v>
      </c>
      <c r="G24" s="44" t="s">
        <v>43</v>
      </c>
      <c r="H24" s="33" t="s">
        <v>30</v>
      </c>
      <c r="I24" s="33" t="s">
        <v>31</v>
      </c>
    </row>
    <row r="25" spans="1:9">
      <c r="A25" s="33" t="s">
        <v>13</v>
      </c>
      <c r="B25" s="33" t="s">
        <v>26</v>
      </c>
      <c r="C25" s="39" t="s">
        <v>72</v>
      </c>
      <c r="D25" s="39" t="s">
        <v>73</v>
      </c>
      <c r="E25" s="33">
        <v>1</v>
      </c>
      <c r="F25" s="33">
        <v>9</v>
      </c>
      <c r="G25" s="44" t="s">
        <v>43</v>
      </c>
      <c r="H25" s="33" t="s">
        <v>30</v>
      </c>
      <c r="I25" s="33" t="s">
        <v>31</v>
      </c>
    </row>
    <row r="26" spans="1:9" ht="30">
      <c r="A26" s="33" t="s">
        <v>13</v>
      </c>
      <c r="B26" s="33" t="s">
        <v>26</v>
      </c>
      <c r="C26" s="39" t="s">
        <v>74</v>
      </c>
      <c r="D26" s="39" t="s">
        <v>75</v>
      </c>
      <c r="E26" s="33">
        <v>2</v>
      </c>
      <c r="F26" s="33">
        <v>9</v>
      </c>
      <c r="G26" s="44" t="s">
        <v>43</v>
      </c>
      <c r="H26" s="33" t="s">
        <v>30</v>
      </c>
      <c r="I26" s="33" t="s">
        <v>31</v>
      </c>
    </row>
    <row r="27" spans="1:9" ht="30">
      <c r="A27" s="33" t="s">
        <v>2</v>
      </c>
      <c r="B27" s="33" t="s">
        <v>26</v>
      </c>
      <c r="C27" s="33" t="s">
        <v>76</v>
      </c>
      <c r="D27" s="40" t="s">
        <v>77</v>
      </c>
      <c r="E27" s="33">
        <v>1</v>
      </c>
      <c r="F27" s="33">
        <v>9</v>
      </c>
      <c r="G27" s="44" t="s">
        <v>29</v>
      </c>
      <c r="H27" s="33" t="s">
        <v>30</v>
      </c>
      <c r="I27" s="33" t="s">
        <v>31</v>
      </c>
    </row>
    <row r="28" spans="1:9" ht="30">
      <c r="A28" s="33" t="s">
        <v>2</v>
      </c>
      <c r="B28" s="33" t="s">
        <v>26</v>
      </c>
      <c r="C28" s="39" t="s">
        <v>78</v>
      </c>
      <c r="D28" s="39" t="s">
        <v>79</v>
      </c>
      <c r="E28" s="33">
        <v>2</v>
      </c>
      <c r="F28" s="33">
        <v>9</v>
      </c>
      <c r="G28" s="44" t="s">
        <v>29</v>
      </c>
      <c r="H28" s="33" t="s">
        <v>30</v>
      </c>
      <c r="I28" s="33" t="s">
        <v>31</v>
      </c>
    </row>
    <row r="29" spans="1:9" ht="30">
      <c r="A29" s="33" t="s">
        <v>4</v>
      </c>
      <c r="B29" s="33" t="s">
        <v>26</v>
      </c>
      <c r="C29" s="33" t="s">
        <v>80</v>
      </c>
      <c r="D29" s="41" t="s">
        <v>81</v>
      </c>
      <c r="E29" s="33">
        <v>4</v>
      </c>
      <c r="F29" s="33">
        <v>10</v>
      </c>
      <c r="G29" s="44" t="s">
        <v>43</v>
      </c>
      <c r="H29" s="33" t="s">
        <v>30</v>
      </c>
      <c r="I29" s="33" t="s">
        <v>31</v>
      </c>
    </row>
    <row r="30" spans="1:9" ht="30">
      <c r="A30" s="33" t="s">
        <v>12</v>
      </c>
      <c r="B30" s="33" t="s">
        <v>26</v>
      </c>
      <c r="C30" s="33" t="s">
        <v>82</v>
      </c>
      <c r="D30" s="40" t="s">
        <v>83</v>
      </c>
      <c r="E30" s="46">
        <v>2</v>
      </c>
      <c r="F30" s="33">
        <v>10</v>
      </c>
      <c r="G30" s="44" t="s">
        <v>29</v>
      </c>
      <c r="H30" s="33" t="s">
        <v>30</v>
      </c>
      <c r="I30" s="33" t="s">
        <v>31</v>
      </c>
    </row>
    <row r="31" spans="1:9">
      <c r="A31" s="33" t="s">
        <v>5</v>
      </c>
      <c r="B31" s="33" t="s">
        <v>26</v>
      </c>
      <c r="C31" s="33" t="s">
        <v>84</v>
      </c>
      <c r="D31" s="41" t="s">
        <v>85</v>
      </c>
      <c r="E31" s="33">
        <v>2</v>
      </c>
      <c r="F31" s="33">
        <v>10</v>
      </c>
      <c r="G31" s="44" t="s">
        <v>36</v>
      </c>
      <c r="H31" s="33" t="s">
        <v>30</v>
      </c>
      <c r="I31" s="33" t="s">
        <v>31</v>
      </c>
    </row>
    <row r="32" spans="1:9" ht="30">
      <c r="A32" s="40" t="s">
        <v>15</v>
      </c>
      <c r="B32" s="33" t="s">
        <v>26</v>
      </c>
      <c r="C32" s="33" t="s">
        <v>86</v>
      </c>
      <c r="D32" s="33" t="s">
        <v>87</v>
      </c>
      <c r="E32" s="33">
        <v>2</v>
      </c>
      <c r="F32" s="33">
        <v>10</v>
      </c>
      <c r="G32" s="33" t="s">
        <v>36</v>
      </c>
      <c r="H32" s="33" t="s">
        <v>30</v>
      </c>
      <c r="I32" s="33" t="s">
        <v>31</v>
      </c>
    </row>
    <row r="33" spans="1:9" ht="30">
      <c r="A33" s="40" t="s">
        <v>15</v>
      </c>
      <c r="B33" s="40" t="s">
        <v>26</v>
      </c>
      <c r="C33" s="40" t="s">
        <v>88</v>
      </c>
      <c r="D33" s="40" t="s">
        <v>89</v>
      </c>
      <c r="E33" s="40">
        <v>2</v>
      </c>
      <c r="F33" s="40">
        <v>10</v>
      </c>
      <c r="G33" s="40" t="s">
        <v>36</v>
      </c>
      <c r="H33" s="40" t="s">
        <v>30</v>
      </c>
      <c r="I33" s="40" t="s">
        <v>31</v>
      </c>
    </row>
    <row r="34" spans="1:9" ht="30">
      <c r="A34" s="33" t="s">
        <v>14</v>
      </c>
      <c r="B34" s="33" t="s">
        <v>26</v>
      </c>
      <c r="C34" s="39" t="s">
        <v>90</v>
      </c>
      <c r="D34" s="39" t="s">
        <v>91</v>
      </c>
      <c r="E34" s="33">
        <v>1</v>
      </c>
      <c r="F34" s="33">
        <v>10</v>
      </c>
      <c r="G34" s="44" t="s">
        <v>29</v>
      </c>
      <c r="H34" s="33" t="s">
        <v>30</v>
      </c>
      <c r="I34" s="33" t="s">
        <v>31</v>
      </c>
    </row>
    <row r="35" spans="1:9" ht="30">
      <c r="A35" s="33" t="s">
        <v>14</v>
      </c>
      <c r="B35" s="33" t="s">
        <v>26</v>
      </c>
      <c r="C35" s="33" t="s">
        <v>92</v>
      </c>
      <c r="D35" s="40" t="s">
        <v>93</v>
      </c>
      <c r="E35" s="33">
        <v>2</v>
      </c>
      <c r="F35" s="33">
        <v>10</v>
      </c>
      <c r="G35" s="44" t="s">
        <v>29</v>
      </c>
      <c r="H35" s="33" t="s">
        <v>30</v>
      </c>
      <c r="I35" s="33" t="s">
        <v>31</v>
      </c>
    </row>
    <row r="36" spans="1:9" ht="30">
      <c r="A36" s="33" t="s">
        <v>14</v>
      </c>
      <c r="B36" s="33" t="s">
        <v>26</v>
      </c>
      <c r="C36" s="33" t="s">
        <v>94</v>
      </c>
      <c r="D36" s="40" t="s">
        <v>95</v>
      </c>
      <c r="E36" s="33">
        <v>1</v>
      </c>
      <c r="F36" s="33">
        <v>10</v>
      </c>
      <c r="G36" s="44" t="s">
        <v>29</v>
      </c>
      <c r="H36" s="33" t="s">
        <v>30</v>
      </c>
      <c r="I36" s="33" t="s">
        <v>31</v>
      </c>
    </row>
    <row r="37" spans="1:9" ht="30">
      <c r="A37" s="33" t="s">
        <v>14</v>
      </c>
      <c r="B37" s="33" t="s">
        <v>26</v>
      </c>
      <c r="C37" s="33" t="s">
        <v>96</v>
      </c>
      <c r="D37" s="40" t="s">
        <v>97</v>
      </c>
      <c r="E37" s="33">
        <v>2</v>
      </c>
      <c r="F37" s="33">
        <v>10</v>
      </c>
      <c r="G37" s="44" t="s">
        <v>29</v>
      </c>
      <c r="H37" s="33" t="s">
        <v>30</v>
      </c>
      <c r="I37" s="33" t="s">
        <v>31</v>
      </c>
    </row>
    <row r="38" spans="1:9" ht="30">
      <c r="A38" s="40" t="s">
        <v>15</v>
      </c>
      <c r="B38" s="40" t="s">
        <v>26</v>
      </c>
      <c r="C38" s="40" t="s">
        <v>98</v>
      </c>
      <c r="D38" s="40" t="s">
        <v>99</v>
      </c>
      <c r="E38" s="40">
        <v>4</v>
      </c>
      <c r="F38" s="40">
        <v>10</v>
      </c>
      <c r="G38" s="40" t="s">
        <v>36</v>
      </c>
      <c r="H38" s="40" t="s">
        <v>30</v>
      </c>
      <c r="I38" s="40" t="s">
        <v>31</v>
      </c>
    </row>
    <row r="39" spans="1:9">
      <c r="A39" s="33" t="s">
        <v>5</v>
      </c>
      <c r="B39" s="33" t="s">
        <v>26</v>
      </c>
      <c r="C39" s="33" t="s">
        <v>100</v>
      </c>
      <c r="D39" s="41" t="s">
        <v>101</v>
      </c>
      <c r="E39" s="33">
        <v>2</v>
      </c>
      <c r="F39" s="33">
        <v>10</v>
      </c>
      <c r="G39" s="44" t="s">
        <v>43</v>
      </c>
      <c r="H39" s="33" t="s">
        <v>102</v>
      </c>
      <c r="I39" s="33" t="s">
        <v>31</v>
      </c>
    </row>
    <row r="40" spans="1:9" ht="30">
      <c r="A40" s="33" t="s">
        <v>12</v>
      </c>
      <c r="B40" s="33" t="s">
        <v>26</v>
      </c>
      <c r="C40" s="33" t="s">
        <v>103</v>
      </c>
      <c r="D40" s="40" t="s">
        <v>104</v>
      </c>
      <c r="E40" s="33">
        <v>1</v>
      </c>
      <c r="F40" s="33">
        <v>11</v>
      </c>
      <c r="G40" s="44" t="s">
        <v>36</v>
      </c>
      <c r="H40" s="33" t="s">
        <v>30</v>
      </c>
      <c r="I40" s="33" t="s">
        <v>31</v>
      </c>
    </row>
    <row r="41" spans="1:9">
      <c r="A41" s="33" t="s">
        <v>12</v>
      </c>
      <c r="B41" s="33" t="s">
        <v>26</v>
      </c>
      <c r="C41" s="33" t="s">
        <v>105</v>
      </c>
      <c r="D41" s="33" t="s">
        <v>106</v>
      </c>
      <c r="E41" s="33">
        <v>0.5</v>
      </c>
      <c r="F41" s="33">
        <v>11</v>
      </c>
      <c r="G41" s="44" t="s">
        <v>36</v>
      </c>
      <c r="H41" s="33" t="s">
        <v>30</v>
      </c>
      <c r="I41" s="33" t="s">
        <v>31</v>
      </c>
    </row>
    <row r="42" spans="1:9" ht="30">
      <c r="A42" s="40" t="s">
        <v>8</v>
      </c>
      <c r="B42" s="33" t="s">
        <v>26</v>
      </c>
      <c r="C42" s="41" t="s">
        <v>107</v>
      </c>
      <c r="D42" s="41" t="s">
        <v>108</v>
      </c>
      <c r="E42" s="33">
        <v>2</v>
      </c>
      <c r="F42" s="33">
        <v>11</v>
      </c>
      <c r="G42" s="44" t="s">
        <v>43</v>
      </c>
      <c r="H42" s="33" t="s">
        <v>30</v>
      </c>
      <c r="I42" s="33" t="s">
        <v>31</v>
      </c>
    </row>
    <row r="43" spans="1:9" ht="30">
      <c r="A43" s="40" t="s">
        <v>8</v>
      </c>
      <c r="B43" s="33" t="s">
        <v>26</v>
      </c>
      <c r="C43" s="41" t="s">
        <v>109</v>
      </c>
      <c r="D43" s="41" t="s">
        <v>110</v>
      </c>
      <c r="E43" s="33">
        <v>2</v>
      </c>
      <c r="F43" s="33">
        <v>11</v>
      </c>
      <c r="G43" s="44" t="s">
        <v>29</v>
      </c>
      <c r="H43" s="33" t="s">
        <v>30</v>
      </c>
      <c r="I43" s="33" t="s">
        <v>31</v>
      </c>
    </row>
    <row r="44" spans="1:9" ht="30">
      <c r="A44" s="33" t="s">
        <v>12</v>
      </c>
      <c r="B44" s="33" t="s">
        <v>26</v>
      </c>
      <c r="C44" s="33" t="s">
        <v>111</v>
      </c>
      <c r="D44" s="40" t="s">
        <v>112</v>
      </c>
      <c r="E44" s="33">
        <v>1</v>
      </c>
      <c r="F44" s="33">
        <v>11</v>
      </c>
      <c r="G44" s="44" t="s">
        <v>36</v>
      </c>
      <c r="H44" s="33" t="s">
        <v>30</v>
      </c>
      <c r="I44" s="33" t="s">
        <v>31</v>
      </c>
    </row>
    <row r="45" spans="1:9">
      <c r="A45" s="33" t="s">
        <v>10</v>
      </c>
      <c r="B45" s="33" t="s">
        <v>26</v>
      </c>
      <c r="C45" s="33" t="s">
        <v>113</v>
      </c>
      <c r="D45" s="40" t="s">
        <v>114</v>
      </c>
      <c r="E45" s="33">
        <v>2</v>
      </c>
      <c r="F45" s="33">
        <v>11</v>
      </c>
      <c r="G45" s="44" t="s">
        <v>43</v>
      </c>
      <c r="H45" s="33" t="s">
        <v>30</v>
      </c>
      <c r="I45" s="33" t="s">
        <v>31</v>
      </c>
    </row>
    <row r="46" spans="1:9">
      <c r="A46" s="33" t="s">
        <v>12</v>
      </c>
      <c r="B46" s="33" t="s">
        <v>26</v>
      </c>
      <c r="C46" s="33" t="s">
        <v>115</v>
      </c>
      <c r="D46" s="33" t="s">
        <v>116</v>
      </c>
      <c r="E46" s="33">
        <v>0.5</v>
      </c>
      <c r="F46" s="33">
        <v>11</v>
      </c>
      <c r="G46" s="44" t="s">
        <v>36</v>
      </c>
      <c r="H46" s="33" t="s">
        <v>30</v>
      </c>
      <c r="I46" s="33" t="s">
        <v>31</v>
      </c>
    </row>
    <row r="47" spans="1:9">
      <c r="A47" s="33" t="s">
        <v>12</v>
      </c>
      <c r="B47" s="33" t="s">
        <v>26</v>
      </c>
      <c r="C47" s="33" t="s">
        <v>117</v>
      </c>
      <c r="D47" s="33" t="s">
        <v>118</v>
      </c>
      <c r="E47" s="33">
        <v>1</v>
      </c>
      <c r="F47" s="33">
        <v>11</v>
      </c>
      <c r="G47" s="44" t="s">
        <v>36</v>
      </c>
      <c r="H47" s="33" t="s">
        <v>30</v>
      </c>
      <c r="I47" s="33" t="s">
        <v>31</v>
      </c>
    </row>
    <row r="48" spans="1:9" ht="30">
      <c r="A48" s="33" t="s">
        <v>12</v>
      </c>
      <c r="B48" s="33" t="s">
        <v>26</v>
      </c>
      <c r="C48" s="40" t="s">
        <v>119</v>
      </c>
      <c r="D48" s="40" t="s">
        <v>120</v>
      </c>
      <c r="E48" s="33">
        <v>3</v>
      </c>
      <c r="F48" s="33">
        <v>11</v>
      </c>
      <c r="G48" s="44" t="s">
        <v>36</v>
      </c>
      <c r="H48" s="33" t="s">
        <v>30</v>
      </c>
      <c r="I48" s="33" t="s">
        <v>31</v>
      </c>
    </row>
    <row r="49" spans="1:9" ht="30">
      <c r="A49" s="33" t="s">
        <v>9</v>
      </c>
      <c r="B49" s="33" t="s">
        <v>26</v>
      </c>
      <c r="C49" s="33" t="s">
        <v>121</v>
      </c>
      <c r="D49" s="39" t="s">
        <v>122</v>
      </c>
      <c r="E49" s="33">
        <v>3</v>
      </c>
      <c r="F49" s="33">
        <v>12</v>
      </c>
      <c r="G49" s="33" t="s">
        <v>43</v>
      </c>
      <c r="H49" s="33" t="s">
        <v>30</v>
      </c>
      <c r="I49" s="33" t="s">
        <v>31</v>
      </c>
    </row>
    <row r="50" spans="1:9">
      <c r="A50" s="33" t="s">
        <v>9</v>
      </c>
      <c r="B50" s="33" t="s">
        <v>26</v>
      </c>
      <c r="C50" s="33" t="s">
        <v>123</v>
      </c>
      <c r="D50" s="40" t="s">
        <v>124</v>
      </c>
      <c r="E50" s="33">
        <v>1</v>
      </c>
      <c r="F50" s="33">
        <v>12</v>
      </c>
      <c r="G50" s="33" t="s">
        <v>43</v>
      </c>
      <c r="H50" s="33" t="s">
        <v>9</v>
      </c>
      <c r="I50" s="33" t="s">
        <v>31</v>
      </c>
    </row>
    <row r="51" spans="1:9">
      <c r="A51" s="33" t="s">
        <v>9</v>
      </c>
      <c r="B51" s="33" t="s">
        <v>26</v>
      </c>
      <c r="C51" s="33" t="s">
        <v>125</v>
      </c>
      <c r="D51" s="40" t="s">
        <v>126</v>
      </c>
      <c r="E51" s="33">
        <v>1</v>
      </c>
      <c r="F51" s="33">
        <v>12</v>
      </c>
      <c r="G51" s="33" t="s">
        <v>43</v>
      </c>
      <c r="H51" s="33" t="s">
        <v>9</v>
      </c>
      <c r="I51" s="33" t="s">
        <v>31</v>
      </c>
    </row>
    <row r="52" spans="1:9">
      <c r="A52" s="33" t="s">
        <v>9</v>
      </c>
      <c r="B52" s="33" t="s">
        <v>127</v>
      </c>
      <c r="C52" s="33" t="s">
        <v>128</v>
      </c>
      <c r="D52" s="40" t="s">
        <v>129</v>
      </c>
      <c r="E52" s="33">
        <v>1</v>
      </c>
      <c r="F52" s="33">
        <v>12</v>
      </c>
      <c r="G52" s="33" t="s">
        <v>43</v>
      </c>
      <c r="H52" s="33" t="s">
        <v>9</v>
      </c>
      <c r="I52" s="33" t="s">
        <v>31</v>
      </c>
    </row>
    <row r="53" spans="1:9">
      <c r="A53" s="33" t="s">
        <v>10</v>
      </c>
      <c r="B53" s="33" t="s">
        <v>26</v>
      </c>
      <c r="C53" s="33" t="s">
        <v>130</v>
      </c>
      <c r="D53" s="45" t="s">
        <v>131</v>
      </c>
      <c r="E53" s="33">
        <v>4</v>
      </c>
      <c r="F53" s="33">
        <v>12</v>
      </c>
      <c r="G53" s="33" t="s">
        <v>29</v>
      </c>
      <c r="H53" s="33" t="s">
        <v>132</v>
      </c>
      <c r="I53" s="33" t="s">
        <v>31</v>
      </c>
    </row>
    <row r="54" spans="1:9">
      <c r="A54" s="33" t="s">
        <v>10</v>
      </c>
      <c r="B54" s="33" t="s">
        <v>26</v>
      </c>
      <c r="C54" s="33" t="s">
        <v>133</v>
      </c>
      <c r="D54" s="40" t="s">
        <v>134</v>
      </c>
      <c r="E54" s="33">
        <v>4</v>
      </c>
      <c r="F54" s="33">
        <v>12</v>
      </c>
      <c r="G54" s="33" t="s">
        <v>43</v>
      </c>
      <c r="H54" s="33" t="s">
        <v>132</v>
      </c>
      <c r="I54" s="33" t="s">
        <v>31</v>
      </c>
    </row>
    <row r="55" spans="1:9" ht="30">
      <c r="A55" s="33" t="s">
        <v>10</v>
      </c>
      <c r="B55" s="33" t="s">
        <v>26</v>
      </c>
      <c r="C55" s="33" t="s">
        <v>135</v>
      </c>
      <c r="D55" s="40" t="s">
        <v>136</v>
      </c>
      <c r="E55" s="33">
        <v>3</v>
      </c>
      <c r="F55" s="33">
        <v>12</v>
      </c>
      <c r="G55" s="33" t="s">
        <v>29</v>
      </c>
      <c r="H55" s="33" t="s">
        <v>30</v>
      </c>
      <c r="I55" s="33" t="s">
        <v>31</v>
      </c>
    </row>
    <row r="56" spans="1:9">
      <c r="A56" s="33" t="s">
        <v>10</v>
      </c>
      <c r="B56" s="33" t="s">
        <v>26</v>
      </c>
      <c r="C56" s="33" t="s">
        <v>137</v>
      </c>
      <c r="D56" s="40" t="s">
        <v>138</v>
      </c>
      <c r="E56" s="33">
        <v>2</v>
      </c>
      <c r="F56" s="33">
        <v>12</v>
      </c>
      <c r="G56" s="33" t="s">
        <v>43</v>
      </c>
      <c r="H56" s="33" t="s">
        <v>132</v>
      </c>
      <c r="I56" s="33" t="s">
        <v>31</v>
      </c>
    </row>
    <row r="57" spans="1:9" ht="30">
      <c r="A57" s="33" t="s">
        <v>10</v>
      </c>
      <c r="B57" s="33" t="s">
        <v>26</v>
      </c>
      <c r="C57" s="33" t="s">
        <v>139</v>
      </c>
      <c r="D57" s="40" t="s">
        <v>140</v>
      </c>
      <c r="E57" s="33">
        <v>3</v>
      </c>
      <c r="F57" s="33">
        <v>12</v>
      </c>
      <c r="G57" s="33" t="s">
        <v>29</v>
      </c>
      <c r="H57" s="33" t="s">
        <v>132</v>
      </c>
      <c r="I57" s="33" t="s">
        <v>31</v>
      </c>
    </row>
    <row r="58" spans="1:9" ht="16.5" customHeight="1">
      <c r="A58" s="33" t="s">
        <v>12</v>
      </c>
      <c r="B58" s="33" t="s">
        <v>26</v>
      </c>
      <c r="C58" s="39" t="s">
        <v>141</v>
      </c>
      <c r="D58" s="39" t="s">
        <v>142</v>
      </c>
      <c r="E58" s="33">
        <v>3</v>
      </c>
      <c r="F58" s="33">
        <v>12</v>
      </c>
      <c r="G58" s="44" t="s">
        <v>36</v>
      </c>
      <c r="H58" s="33" t="s">
        <v>30</v>
      </c>
      <c r="I58" s="33" t="s">
        <v>31</v>
      </c>
    </row>
    <row r="59" spans="1:9" ht="30">
      <c r="A59" s="33" t="s">
        <v>12</v>
      </c>
      <c r="B59" s="33" t="s">
        <v>26</v>
      </c>
      <c r="C59" s="40" t="s">
        <v>143</v>
      </c>
      <c r="D59" s="40" t="s">
        <v>144</v>
      </c>
      <c r="E59" s="33">
        <v>2</v>
      </c>
      <c r="F59" s="33">
        <v>12</v>
      </c>
      <c r="G59" s="44" t="s">
        <v>36</v>
      </c>
      <c r="H59" s="33" t="s">
        <v>30</v>
      </c>
      <c r="I59" s="33" t="s">
        <v>31</v>
      </c>
    </row>
    <row r="60" spans="1:9" ht="30">
      <c r="A60" s="40" t="s">
        <v>8</v>
      </c>
      <c r="B60" s="33" t="s">
        <v>26</v>
      </c>
      <c r="C60" s="39" t="s">
        <v>145</v>
      </c>
      <c r="D60" s="39" t="s">
        <v>146</v>
      </c>
      <c r="E60" s="33">
        <v>2</v>
      </c>
      <c r="F60" s="33">
        <v>12</v>
      </c>
      <c r="G60" s="33" t="s">
        <v>36</v>
      </c>
      <c r="H60" s="33" t="s">
        <v>30</v>
      </c>
      <c r="I60" s="33" t="s">
        <v>31</v>
      </c>
    </row>
    <row r="61" spans="1:9">
      <c r="A61" s="33"/>
      <c r="B61" s="33" t="s">
        <v>26</v>
      </c>
      <c r="C61" s="33" t="s">
        <v>147</v>
      </c>
      <c r="D61" s="41" t="s">
        <v>148</v>
      </c>
      <c r="E61" s="33">
        <v>3</v>
      </c>
      <c r="F61" s="33" t="s">
        <v>149</v>
      </c>
      <c r="G61" s="33" t="s">
        <v>29</v>
      </c>
      <c r="H61" s="33" t="s">
        <v>150</v>
      </c>
      <c r="I61" s="33" t="s">
        <v>31</v>
      </c>
    </row>
    <row r="62" spans="1:9">
      <c r="A62" s="33"/>
      <c r="B62" s="33" t="s">
        <v>26</v>
      </c>
      <c r="C62" s="33" t="s">
        <v>147</v>
      </c>
      <c r="D62" s="41" t="s">
        <v>148</v>
      </c>
      <c r="E62" s="33">
        <v>3</v>
      </c>
      <c r="F62" s="33" t="s">
        <v>149</v>
      </c>
      <c r="G62" s="33" t="s">
        <v>43</v>
      </c>
      <c r="H62" s="33" t="s">
        <v>150</v>
      </c>
      <c r="I62" s="33" t="s">
        <v>31</v>
      </c>
    </row>
    <row r="63" spans="1:9">
      <c r="A63" s="33"/>
      <c r="B63" s="33" t="s">
        <v>26</v>
      </c>
      <c r="C63" s="33" t="s">
        <v>147</v>
      </c>
      <c r="D63" s="41" t="s">
        <v>148</v>
      </c>
      <c r="E63" s="33">
        <v>3</v>
      </c>
      <c r="F63" s="33" t="s">
        <v>149</v>
      </c>
      <c r="G63" s="33" t="s">
        <v>36</v>
      </c>
      <c r="H63" s="33" t="s">
        <v>150</v>
      </c>
      <c r="I63" s="33" t="s">
        <v>31</v>
      </c>
    </row>
    <row r="64" spans="1:9" ht="60">
      <c r="A64" s="33" t="s">
        <v>2</v>
      </c>
      <c r="B64" s="33" t="s">
        <v>151</v>
      </c>
      <c r="C64" s="33" t="s">
        <v>152</v>
      </c>
      <c r="D64" s="41" t="s">
        <v>153</v>
      </c>
      <c r="E64" s="33"/>
      <c r="F64" s="33"/>
      <c r="G64" s="44"/>
      <c r="H64" s="33" t="s">
        <v>30</v>
      </c>
    </row>
    <row r="65" spans="1:9" ht="30">
      <c r="A65" s="33" t="s">
        <v>2</v>
      </c>
      <c r="B65" s="33" t="s">
        <v>151</v>
      </c>
      <c r="C65" s="33" t="s">
        <v>154</v>
      </c>
      <c r="D65" s="40" t="s">
        <v>155</v>
      </c>
      <c r="E65" s="33"/>
      <c r="F65" s="33"/>
      <c r="G65" s="44"/>
      <c r="H65" s="33" t="s">
        <v>30</v>
      </c>
    </row>
    <row r="66" spans="1:9">
      <c r="A66" s="18" t="s">
        <v>3</v>
      </c>
      <c r="B66" s="18" t="s">
        <v>151</v>
      </c>
      <c r="C66" s="18" t="s">
        <v>156</v>
      </c>
      <c r="D66" s="50" t="s">
        <v>157</v>
      </c>
      <c r="G66" s="53"/>
      <c r="H66" s="32" t="s">
        <v>30</v>
      </c>
    </row>
    <row r="67" spans="1:9">
      <c r="A67" s="33" t="s">
        <v>4</v>
      </c>
      <c r="B67" s="33" t="s">
        <v>151</v>
      </c>
      <c r="C67" s="33" t="s">
        <v>158</v>
      </c>
      <c r="D67" s="41" t="s">
        <v>159</v>
      </c>
      <c r="E67" s="33"/>
      <c r="F67" s="33"/>
      <c r="G67" s="44"/>
      <c r="H67" s="33" t="s">
        <v>30</v>
      </c>
    </row>
    <row r="68" spans="1:9" ht="30">
      <c r="A68" s="33" t="s">
        <v>12</v>
      </c>
      <c r="B68" s="33" t="s">
        <v>151</v>
      </c>
      <c r="C68" s="33" t="s">
        <v>160</v>
      </c>
      <c r="D68" s="41" t="s">
        <v>161</v>
      </c>
      <c r="E68" s="33"/>
      <c r="F68" s="33"/>
      <c r="G68" s="44"/>
      <c r="H68" s="33" t="s">
        <v>30</v>
      </c>
    </row>
    <row r="69" spans="1:9">
      <c r="A69" s="33" t="s">
        <v>12</v>
      </c>
      <c r="B69" s="33" t="s">
        <v>151</v>
      </c>
      <c r="C69" s="33" t="s">
        <v>162</v>
      </c>
      <c r="D69" s="33" t="s">
        <v>163</v>
      </c>
      <c r="E69" s="33"/>
      <c r="F69" s="33"/>
      <c r="G69" s="44"/>
      <c r="H69" s="33" t="s">
        <v>30</v>
      </c>
    </row>
    <row r="70" spans="1:9">
      <c r="A70" s="33" t="s">
        <v>14</v>
      </c>
      <c r="B70" s="33" t="s">
        <v>151</v>
      </c>
      <c r="C70" s="39" t="s">
        <v>164</v>
      </c>
      <c r="D70" s="39" t="s">
        <v>165</v>
      </c>
      <c r="E70" s="33"/>
      <c r="F70" s="33"/>
      <c r="G70" s="44"/>
      <c r="H70" s="33" t="s">
        <v>30</v>
      </c>
    </row>
    <row r="71" spans="1:9">
      <c r="A71" s="32" t="s">
        <v>7</v>
      </c>
      <c r="B71" s="32" t="s">
        <v>151</v>
      </c>
      <c r="C71" s="47" t="s">
        <v>166</v>
      </c>
      <c r="D71" s="49" t="s">
        <v>167</v>
      </c>
      <c r="E71" s="32"/>
      <c r="F71" s="32"/>
      <c r="G71" s="52"/>
      <c r="H71" s="32" t="s">
        <v>30</v>
      </c>
    </row>
    <row r="72" spans="1:9">
      <c r="A72" s="18" t="s">
        <v>7</v>
      </c>
      <c r="B72" s="18" t="s">
        <v>151</v>
      </c>
      <c r="C72" s="48" t="s">
        <v>168</v>
      </c>
      <c r="D72" s="51" t="s">
        <v>169</v>
      </c>
      <c r="G72" s="53"/>
      <c r="H72" s="32" t="s">
        <v>30</v>
      </c>
    </row>
    <row r="73" spans="1:9" ht="30">
      <c r="A73" s="40" t="s">
        <v>8</v>
      </c>
      <c r="B73" s="33" t="s">
        <v>151</v>
      </c>
      <c r="C73" s="39" t="s">
        <v>170</v>
      </c>
      <c r="D73" s="39" t="s">
        <v>171</v>
      </c>
      <c r="E73" s="33"/>
      <c r="F73" s="33"/>
      <c r="G73" s="44"/>
      <c r="H73" s="33" t="s">
        <v>30</v>
      </c>
    </row>
    <row r="74" spans="1:9" ht="30">
      <c r="A74" s="40" t="s">
        <v>8</v>
      </c>
      <c r="B74" s="33" t="s">
        <v>151</v>
      </c>
      <c r="C74" s="39" t="s">
        <v>172</v>
      </c>
      <c r="D74" s="39" t="s">
        <v>173</v>
      </c>
      <c r="E74" s="33"/>
      <c r="F74" s="33"/>
      <c r="G74" s="44"/>
      <c r="H74" s="33" t="s">
        <v>30</v>
      </c>
    </row>
    <row r="75" spans="1:9">
      <c r="A75" s="33" t="s">
        <v>10</v>
      </c>
      <c r="B75" s="33" t="s">
        <v>151</v>
      </c>
      <c r="C75" s="33" t="s">
        <v>174</v>
      </c>
      <c r="D75" s="40" t="s">
        <v>175</v>
      </c>
      <c r="E75" s="33"/>
      <c r="F75" s="33"/>
      <c r="G75" s="33"/>
      <c r="H75" s="33" t="s">
        <v>132</v>
      </c>
    </row>
    <row r="76" spans="1:9">
      <c r="A76" s="33" t="s">
        <v>10</v>
      </c>
      <c r="B76" s="33" t="s">
        <v>151</v>
      </c>
      <c r="C76" s="41" t="s">
        <v>176</v>
      </c>
      <c r="D76" s="41" t="s">
        <v>177</v>
      </c>
      <c r="E76" s="33"/>
      <c r="F76" s="33"/>
      <c r="G76" s="33"/>
      <c r="H76" s="33" t="s">
        <v>30</v>
      </c>
    </row>
    <row r="77" spans="1:9">
      <c r="A77" s="33" t="s">
        <v>10</v>
      </c>
      <c r="B77" s="33" t="s">
        <v>151</v>
      </c>
      <c r="C77" s="33" t="s">
        <v>178</v>
      </c>
      <c r="D77" s="40" t="s">
        <v>179</v>
      </c>
      <c r="E77" s="33"/>
      <c r="F77" s="33"/>
      <c r="G77" s="33"/>
      <c r="H77" s="33" t="s">
        <v>132</v>
      </c>
      <c r="I77" s="33"/>
    </row>
    <row r="78" spans="1:9">
      <c r="A78" s="33" t="s">
        <v>10</v>
      </c>
      <c r="B78" s="33" t="s">
        <v>151</v>
      </c>
      <c r="C78" s="41" t="s">
        <v>180</v>
      </c>
      <c r="D78" s="41" t="s">
        <v>181</v>
      </c>
      <c r="E78" s="33"/>
      <c r="F78" s="33"/>
      <c r="G78" s="33"/>
      <c r="H78" s="33" t="s">
        <v>132</v>
      </c>
      <c r="I78" s="33"/>
    </row>
    <row r="79" spans="1:9">
      <c r="A79" s="33" t="s">
        <v>5</v>
      </c>
      <c r="B79" s="33" t="s">
        <v>151</v>
      </c>
      <c r="C79" s="33" t="s">
        <v>182</v>
      </c>
      <c r="D79" s="41" t="s">
        <v>183</v>
      </c>
      <c r="E79" s="33"/>
      <c r="F79" s="33"/>
      <c r="G79" s="44"/>
      <c r="H79" s="33" t="s">
        <v>102</v>
      </c>
    </row>
    <row r="80" spans="1:9">
      <c r="A80" s="33" t="s">
        <v>5</v>
      </c>
      <c r="B80" s="33" t="s">
        <v>151</v>
      </c>
      <c r="C80" s="33" t="s">
        <v>184</v>
      </c>
      <c r="D80" s="41" t="s">
        <v>185</v>
      </c>
      <c r="E80" s="33"/>
      <c r="F80" s="33"/>
      <c r="G80" s="44"/>
      <c r="H80" s="33" t="s">
        <v>30</v>
      </c>
      <c r="I80" s="33"/>
    </row>
    <row r="106" spans="8:8">
      <c r="H106" s="32"/>
    </row>
    <row r="107" spans="8:8">
      <c r="H107" s="32"/>
    </row>
    <row r="108" spans="8:8">
      <c r="H108" s="32"/>
    </row>
    <row r="109" spans="8:8">
      <c r="H109" s="32"/>
    </row>
    <row r="110" spans="8:8">
      <c r="H110" s="32"/>
    </row>
  </sheetData>
  <autoFilter ref="A4:I81" xr:uid="{FC3609B2-C661-4021-8956-60A8234CFB90}">
    <sortState xmlns:xlrd2="http://schemas.microsoft.com/office/spreadsheetml/2017/richdata2" ref="A5:I94">
      <sortCondition ref="F4:F81"/>
    </sortState>
  </autoFilter>
  <sortState xmlns:xlrd2="http://schemas.microsoft.com/office/spreadsheetml/2017/richdata2" ref="A4:I80">
    <sortCondition ref="F34:F80"/>
    <sortCondition ref="A34:A80"/>
    <sortCondition ref="B34:B80"/>
    <sortCondition ref="E34:E80"/>
  </sortState>
  <mergeCells count="2">
    <mergeCell ref="A2:I2"/>
    <mergeCell ref="A1:I1"/>
  </mergeCells>
  <phoneticPr fontId="1" type="noConversion"/>
  <pageMargins left="0.7" right="0.7" top="0.75" bottom="0.75" header="0.3" footer="0.3"/>
  <pageSetup orientation="portrait" horizontalDpi="4294967293" verticalDpi="0" r:id="rId1"/>
  <extLst>
    <ext xmlns:x14="http://schemas.microsoft.com/office/spreadsheetml/2009/9/main" uri="{78C0D931-6437-407d-A8EE-F0AAD7539E65}">
      <x14:conditionalFormattings>
        <x14:conditionalFormatting xmlns:xm="http://schemas.microsoft.com/office/excel/2006/main">
          <x14:cfRule type="containsText" priority="1" operator="containsText" id="{7B465554-4F9C-4B34-912B-9EB40264221F}">
            <xm:f>NOT(ISERROR(SEARCH(Priorities!$A$4,B5)))</xm:f>
            <xm:f>Priorities!$A$4</xm:f>
            <x14:dxf>
              <font>
                <color rgb="FF006100"/>
              </font>
              <fill>
                <patternFill>
                  <bgColor rgb="FFC6EFCE"/>
                </patternFill>
              </fill>
            </x14:dxf>
          </x14:cfRule>
          <x14:cfRule type="containsText" priority="2" operator="containsText" id="{DFC45A0A-59A5-4EE9-B30E-160ECA299D8F}">
            <xm:f>NOT(ISERROR(SEARCH(Priorities!$A$3,B5)))</xm:f>
            <xm:f>Priorities!$A$3</xm:f>
            <x14:dxf>
              <font>
                <color rgb="FF9C5700"/>
              </font>
              <fill>
                <patternFill>
                  <bgColor rgb="FFFFEB9C"/>
                </patternFill>
              </fill>
            </x14:dxf>
          </x14:cfRule>
          <x14:cfRule type="containsText" priority="3" operator="containsText" id="{A47CCBB5-CA46-4CBA-8B29-55E90D993892}">
            <xm:f>NOT(ISERROR(SEARCH(Priorities!$A$2,B5)))</xm:f>
            <xm:f>Priorities!$A$2</xm:f>
            <x14:dxf>
              <font>
                <color rgb="FF9C0006"/>
              </font>
              <fill>
                <patternFill>
                  <bgColor rgb="FFFFC7CE"/>
                </patternFill>
              </fill>
            </x14:dxf>
          </x14:cfRule>
          <xm:sqref>B5:B80 B106:B138</xm:sqref>
        </x14:conditionalFormatting>
        <x14:conditionalFormatting xmlns:xm="http://schemas.microsoft.com/office/excel/2006/main">
          <x14:cfRule type="iconSet" priority="248" id="{CA6DB797-26C6-4845-BF73-105774366495}">
            <x14:iconSet iconSet="3Symbols2" custom="1">
              <x14:cfvo type="percent">
                <xm:f>0</xm:f>
              </x14:cfvo>
              <x14:cfvo type="formula">
                <xm:f>#REF!="No"</xm:f>
              </x14:cfvo>
              <x14:cfvo type="formula">
                <xm:f>#REF!="Yes"</xm:f>
              </x14:cfvo>
              <x14:cfIcon iconSet="3Symbols2" iconId="1"/>
              <x14:cfIcon iconSet="3Symbols2" iconId="0"/>
              <x14:cfIcon iconSet="3Symbols2" iconId="2"/>
            </x14:iconSet>
          </x14:cfRule>
          <xm:sqref>I106:I138 I77:I80 I5:I63</xm:sqref>
        </x14:conditionalFormatting>
      </x14:conditionalFormattings>
    </ext>
    <ext xmlns:x14="http://schemas.microsoft.com/office/spreadsheetml/2009/9/main" uri="{CCE6A557-97BC-4b89-ADB6-D9C93CAAB3DF}">
      <x14:dataValidations xmlns:xm="http://schemas.microsoft.com/office/excel/2006/main" count="5">
        <x14:dataValidation type="list" allowBlank="1" showInputMessage="1" showErrorMessage="1" xr:uid="{1542D9F9-4B22-4689-AEA9-56636C881C12}">
          <x14:formula1>
            <xm:f>TaskTypes!$A$2:$A$7</xm:f>
          </x14:formula1>
          <xm:sqref>H106:H110 H5:H63 H64:H80</xm:sqref>
        </x14:dataValidation>
        <x14:dataValidation type="list" allowBlank="1" showInputMessage="1" showErrorMessage="1" xr:uid="{63118DDC-EE31-4439-B868-933105594D3F}">
          <x14:formula1>
            <xm:f>Priorities!$A$2:$A$5</xm:f>
          </x14:formula1>
          <xm:sqref>B106:B156 B5:B63 B64:B80</xm:sqref>
        </x14:dataValidation>
        <x14:dataValidation type="list" allowBlank="1" showInputMessage="1" showErrorMessage="1" xr:uid="{1713CFE4-6E10-4FFD-9DDF-54ECD53BC773}">
          <x14:formula1>
            <xm:f>Priorities!$D$2:$D$3</xm:f>
          </x14:formula1>
          <xm:sqref>I77:I80 I5:I60 I61:I63</xm:sqref>
        </x14:dataValidation>
        <x14:dataValidation type="list" allowBlank="1" showInputMessage="1" showErrorMessage="1" xr:uid="{FABDD8D4-937E-4B64-90CD-733131DB20A0}">
          <x14:formula1>
            <xm:f>'Step1-Overview'!$A$4:$A$999</xm:f>
          </x14:formula1>
          <xm:sqref>A106:A393 A5:A63 A64:A80</xm:sqref>
        </x14:dataValidation>
        <x14:dataValidation type="list" allowBlank="1" showInputMessage="1" showErrorMessage="1" xr:uid="{157A2ADD-92B6-4C75-BBE7-64527CA792C7}">
          <x14:formula1>
            <xm:f>'Step3-Budgeting'!$A$9:$A$11</xm:f>
          </x14:formula1>
          <xm:sqref>G106:G265 G5:G63 G64:G80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11AB3-DFDA-432E-B92E-9782B75DB409}">
  <dimension ref="A1:H12"/>
  <sheetViews>
    <sheetView workbookViewId="0">
      <selection activeCell="J10" sqref="J10"/>
    </sheetView>
  </sheetViews>
  <sheetFormatPr defaultColWidth="8.85546875" defaultRowHeight="15"/>
  <cols>
    <col min="1" max="1" width="14.28515625" style="18" customWidth="1"/>
    <col min="2" max="2" width="31.28515625" style="18" bestFit="1" customWidth="1"/>
    <col min="3" max="3" width="12" style="18" customWidth="1"/>
    <col min="4" max="4" width="12.42578125" style="18" customWidth="1"/>
    <col min="5" max="5" width="11.42578125" style="18" customWidth="1"/>
    <col min="6" max="6" width="11.85546875" style="18" customWidth="1"/>
    <col min="7" max="7" width="10.42578125" style="18" customWidth="1"/>
    <col min="8" max="8" width="10.7109375" style="18" customWidth="1"/>
  </cols>
  <sheetData>
    <row r="1" spans="1:8">
      <c r="A1" s="55" t="s">
        <v>16</v>
      </c>
      <c r="B1" s="55"/>
      <c r="C1" s="55"/>
      <c r="D1" s="55"/>
      <c r="E1" s="55"/>
      <c r="F1" s="55"/>
      <c r="G1" s="55"/>
      <c r="H1" s="55"/>
    </row>
    <row r="2" spans="1:8" ht="76.349999999999994" customHeight="1">
      <c r="A2" s="57" t="s">
        <v>186</v>
      </c>
      <c r="B2" s="57"/>
      <c r="C2" s="57"/>
      <c r="D2" s="57"/>
      <c r="E2" s="57"/>
      <c r="F2" s="57"/>
      <c r="G2" s="57"/>
      <c r="H2" s="57"/>
    </row>
    <row r="3" spans="1:8" ht="28.5" customHeight="1">
      <c r="A3" s="19" t="s">
        <v>187</v>
      </c>
      <c r="B3" s="56" t="s">
        <v>188</v>
      </c>
      <c r="C3" s="56"/>
      <c r="D3" s="56"/>
      <c r="E3" s="56"/>
      <c r="F3" s="56"/>
      <c r="G3" s="56"/>
      <c r="H3" s="56"/>
    </row>
    <row r="4" spans="1:8" ht="40.5" customHeight="1">
      <c r="A4" s="19" t="s">
        <v>189</v>
      </c>
      <c r="B4" s="56" t="s">
        <v>190</v>
      </c>
      <c r="C4" s="56"/>
      <c r="D4" s="56"/>
      <c r="E4" s="56"/>
      <c r="F4" s="56"/>
      <c r="G4" s="56"/>
      <c r="H4" s="56"/>
    </row>
    <row r="5" spans="1:8" ht="57" customHeight="1">
      <c r="A5" s="19" t="s">
        <v>191</v>
      </c>
      <c r="B5" s="56" t="s">
        <v>192</v>
      </c>
      <c r="C5" s="56"/>
      <c r="D5" s="56"/>
      <c r="E5" s="56"/>
      <c r="F5" s="56"/>
      <c r="G5" s="56"/>
      <c r="H5" s="56"/>
    </row>
    <row r="6" spans="1:8" ht="48" customHeight="1">
      <c r="A6" s="19" t="s">
        <v>193</v>
      </c>
      <c r="B6" s="56" t="s">
        <v>194</v>
      </c>
      <c r="C6" s="56"/>
      <c r="D6" s="56"/>
      <c r="E6" s="56"/>
      <c r="F6" s="56"/>
      <c r="G6" s="56"/>
      <c r="H6" s="56"/>
    </row>
    <row r="8" spans="1:8" ht="60">
      <c r="A8" s="18" t="s">
        <v>195</v>
      </c>
      <c r="B8" s="18" t="s">
        <v>196</v>
      </c>
      <c r="C8" s="20" t="s">
        <v>197</v>
      </c>
      <c r="D8" s="20" t="s">
        <v>198</v>
      </c>
      <c r="E8" s="20" t="s">
        <v>199</v>
      </c>
      <c r="F8" s="20" t="s">
        <v>200</v>
      </c>
      <c r="G8" s="20" t="s">
        <v>201</v>
      </c>
      <c r="H8" s="20" t="s">
        <v>202</v>
      </c>
    </row>
    <row r="9" spans="1:8">
      <c r="A9" s="18" t="s">
        <v>43</v>
      </c>
      <c r="B9" s="21" t="s">
        <v>203</v>
      </c>
      <c r="C9" s="18">
        <v>8</v>
      </c>
      <c r="D9" s="18">
        <f>C9*5</f>
        <v>40</v>
      </c>
      <c r="E9" s="18">
        <f>SUMIFS('Step2-Task Backlog'!E:E,'Step2-Task Backlog'!B:B,Priorities!A$2, 'Step2-Task Backlog'!G:G, 'Step3-Budgeting'!A9)</f>
        <v>41</v>
      </c>
      <c r="F9" s="18">
        <f>SUMIFS('Step2-Task Backlog'!E:E,'Step2-Task Backlog'!B:B,Priorities!A$2,'Step2-Task Backlog'!H:H,TaskTypes!A$5, 'Step2-Task Backlog'!G:G, 'Step3-Budgeting'!A9)</f>
        <v>28</v>
      </c>
      <c r="G9" s="18">
        <f>SUMIFS('Step2-Task Backlog'!E:E,'Step2-Task Backlog'!I:I,"Yes",'Step2-Task Backlog'!G:G,'Step3-Budgeting'!A9)</f>
        <v>42</v>
      </c>
      <c r="H9" s="18">
        <f>SUMIFS('Step2-Task Backlog'!E:E,'Step2-Task Backlog'!I:I,"Yes",'Step2-Task Backlog'!G:G,'Step3-Budgeting'!A9,'Step2-Task Backlog'!H:H,TaskTypes!$A$5) + SUMIFS('Step2-Task Backlog'!E:E,'Step2-Task Backlog'!I:I,"Yes",'Step2-Task Backlog'!G:G,'Step3-Budgeting'!A9,'Step2-Task Backlog'!H:H,TaskTypes!$A$6)</f>
        <v>28</v>
      </c>
    </row>
    <row r="10" spans="1:8">
      <c r="A10" s="18" t="s">
        <v>36</v>
      </c>
      <c r="B10" s="21" t="s">
        <v>204</v>
      </c>
      <c r="C10" s="18">
        <v>8</v>
      </c>
      <c r="D10" s="18">
        <f t="shared" ref="D10:D11" si="0">C10*5</f>
        <v>40</v>
      </c>
      <c r="E10" s="18">
        <f>SUMIFS('Step2-Task Backlog'!E:E,'Step2-Task Backlog'!B:B,Priorities!A$2, 'Step2-Task Backlog'!G:G, 'Step3-Budgeting'!A10)</f>
        <v>40</v>
      </c>
      <c r="F10" s="18">
        <f>SUMIFS('Step2-Task Backlog'!E:E,'Step2-Task Backlog'!B:B,Priorities!A$2,'Step2-Task Backlog'!H:H,TaskTypes!A$5, 'Step2-Task Backlog'!G:G, 'Step3-Budgeting'!A10)</f>
        <v>37</v>
      </c>
      <c r="G10" s="18">
        <f>SUMIFS('Step2-Task Backlog'!E:E,'Step2-Task Backlog'!I:I,"Yes",'Step2-Task Backlog'!G:G,'Step3-Budgeting'!A10)</f>
        <v>40</v>
      </c>
      <c r="H10" s="18">
        <f>SUMIFS('Step2-Task Backlog'!E:E,'Step2-Task Backlog'!I:I,"Yes",'Step2-Task Backlog'!G:G,'Step3-Budgeting'!A10,'Step2-Task Backlog'!H:H,TaskTypes!$A$5) + SUMIFS('Step2-Task Backlog'!E:E,'Step2-Task Backlog'!I:I,"Yes",'Step2-Task Backlog'!G:G,'Step3-Budgeting'!A10,'Step2-Task Backlog'!H:H,TaskTypes!$A$6)</f>
        <v>37</v>
      </c>
    </row>
    <row r="11" spans="1:8">
      <c r="A11" s="18" t="s">
        <v>29</v>
      </c>
      <c r="B11" s="21" t="s">
        <v>205</v>
      </c>
      <c r="C11" s="18">
        <v>8</v>
      </c>
      <c r="D11" s="18">
        <f t="shared" si="0"/>
        <v>40</v>
      </c>
      <c r="E11" s="18">
        <f>SUMIFS('Step2-Task Backlog'!E:E,'Step2-Task Backlog'!B:B,Priorities!A$2, 'Step2-Task Backlog'!G:G, 'Step3-Budgeting'!A11)</f>
        <v>36</v>
      </c>
      <c r="F11" s="18">
        <f>SUMIFS('Step2-Task Backlog'!E:E,'Step2-Task Backlog'!B:B,Priorities!A$2,'Step2-Task Backlog'!H:H,TaskTypes!A$5, 'Step2-Task Backlog'!G:G, 'Step3-Budgeting'!A11)</f>
        <v>26</v>
      </c>
      <c r="G11" s="18">
        <f>SUMIFS('Step2-Task Backlog'!E:E,'Step2-Task Backlog'!I:I,"Yes",'Step2-Task Backlog'!G:G,'Step3-Budgeting'!A11)</f>
        <v>36</v>
      </c>
      <c r="H11" s="18">
        <f>SUMIFS('Step2-Task Backlog'!E:E,'Step2-Task Backlog'!I:I,"Yes",'Step2-Task Backlog'!G:G,'Step3-Budgeting'!A11,'Step2-Task Backlog'!H:H,TaskTypes!$A$5) + SUMIFS('Step2-Task Backlog'!E:E,'Step2-Task Backlog'!I:I,"Yes",'Step2-Task Backlog'!G:G,'Step3-Budgeting'!A11,'Step2-Task Backlog'!H:H,TaskTypes!$A$6)</f>
        <v>26</v>
      </c>
    </row>
    <row r="12" spans="1:8">
      <c r="B12" s="18" t="s">
        <v>206</v>
      </c>
      <c r="C12" s="18">
        <f t="shared" ref="C12:H12" si="1">SUM(C9:C11)</f>
        <v>24</v>
      </c>
      <c r="D12" s="18">
        <f t="shared" si="1"/>
        <v>120</v>
      </c>
      <c r="E12" s="18">
        <f t="shared" si="1"/>
        <v>117</v>
      </c>
      <c r="F12" s="18">
        <f t="shared" si="1"/>
        <v>91</v>
      </c>
      <c r="G12" s="18">
        <f t="shared" si="1"/>
        <v>118</v>
      </c>
      <c r="H12" s="18">
        <f t="shared" si="1"/>
        <v>91</v>
      </c>
    </row>
  </sheetData>
  <mergeCells count="6">
    <mergeCell ref="B6:H6"/>
    <mergeCell ref="A1:H1"/>
    <mergeCell ref="A2:H2"/>
    <mergeCell ref="B3:H3"/>
    <mergeCell ref="B4:H4"/>
    <mergeCell ref="B5:H5"/>
  </mergeCells>
  <hyperlinks>
    <hyperlink ref="B9" r:id="rId1" xr:uid="{F2775AB6-22D6-400D-A655-4B8967C42767}"/>
    <hyperlink ref="B10" r:id="rId2" xr:uid="{7E6B4DDD-158C-4860-9D5E-7F612644A414}"/>
    <hyperlink ref="B11" r:id="rId3" xr:uid="{125CF452-05A2-4AD2-87C0-6EA3DB17AF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072B9-A233-472F-975D-896D47920F48}">
  <dimension ref="A1:C1000"/>
  <sheetViews>
    <sheetView topLeftCell="A3" workbookViewId="0">
      <selection activeCell="B6" sqref="B6"/>
    </sheetView>
  </sheetViews>
  <sheetFormatPr defaultColWidth="13.42578125" defaultRowHeight="15" customHeight="1"/>
  <cols>
    <col min="1" max="1" width="9.7109375" style="1" customWidth="1"/>
    <col min="2" max="2" width="56.42578125" style="1" customWidth="1"/>
    <col min="3" max="3" width="51.28515625" style="1" customWidth="1"/>
    <col min="4" max="26" width="8.140625" style="1" customWidth="1"/>
    <col min="27" max="16384" width="13.42578125" style="1"/>
  </cols>
  <sheetData>
    <row r="1" spans="1:3">
      <c r="A1" s="14" t="s">
        <v>207</v>
      </c>
      <c r="B1" s="13" t="s">
        <v>208</v>
      </c>
      <c r="C1" s="12" t="s">
        <v>209</v>
      </c>
    </row>
    <row r="2" spans="1:3" ht="90">
      <c r="A2" s="11" t="s">
        <v>102</v>
      </c>
      <c r="B2" s="7" t="s">
        <v>210</v>
      </c>
      <c r="C2" s="7" t="s">
        <v>211</v>
      </c>
    </row>
    <row r="3" spans="1:3" ht="120">
      <c r="A3" s="11" t="s">
        <v>132</v>
      </c>
      <c r="B3" s="7" t="s">
        <v>212</v>
      </c>
      <c r="C3" s="7" t="s">
        <v>213</v>
      </c>
    </row>
    <row r="4" spans="1:3" ht="204" customHeight="1">
      <c r="A4" s="11" t="s">
        <v>9</v>
      </c>
      <c r="B4" s="7" t="s">
        <v>214</v>
      </c>
      <c r="C4" s="10" t="s">
        <v>215</v>
      </c>
    </row>
    <row r="5" spans="1:3" ht="75" customHeight="1">
      <c r="A5" s="9" t="s">
        <v>30</v>
      </c>
      <c r="B5" s="8" t="s">
        <v>216</v>
      </c>
      <c r="C5" s="7" t="s">
        <v>217</v>
      </c>
    </row>
    <row r="6" spans="1:3" ht="75" customHeight="1">
      <c r="A6" s="6" t="s">
        <v>218</v>
      </c>
      <c r="B6" s="5" t="s">
        <v>219</v>
      </c>
      <c r="C6" s="4" t="s">
        <v>220</v>
      </c>
    </row>
    <row r="7" spans="1:3" ht="90">
      <c r="A7" s="3" t="s">
        <v>150</v>
      </c>
      <c r="B7" s="22" t="s">
        <v>221</v>
      </c>
      <c r="C7" s="2"/>
    </row>
    <row r="21" s="1" customFormat="1" ht="15.75" customHeight="1"/>
    <row r="22" s="1" customFormat="1" ht="15.75" customHeight="1"/>
    <row r="23" s="1" customFormat="1" ht="15.75" customHeight="1"/>
    <row r="24" s="1" customFormat="1" ht="15.75" customHeight="1"/>
    <row r="25" s="1" customFormat="1" ht="15.75" customHeight="1"/>
    <row r="26" s="1" customFormat="1" ht="15.75" customHeight="1"/>
    <row r="27" s="1" customFormat="1" ht="15.75" customHeight="1"/>
    <row r="28" s="1" customFormat="1" ht="15.75" customHeight="1"/>
    <row r="29" s="1" customFormat="1" ht="15.75" customHeight="1"/>
    <row r="30" s="1" customFormat="1" ht="15.75" customHeight="1"/>
    <row r="31" s="1" customFormat="1" ht="15.75" customHeight="1"/>
    <row r="32" s="1" customFormat="1" ht="15.75" customHeight="1"/>
    <row r="33" s="1" customFormat="1" ht="15.75" customHeight="1"/>
    <row r="34" s="1" customFormat="1" ht="15.75" customHeight="1"/>
    <row r="35" s="1" customFormat="1" ht="15.75" customHeight="1"/>
    <row r="36" s="1" customFormat="1" ht="15.75" customHeight="1"/>
    <row r="37" s="1" customFormat="1" ht="15.75" customHeight="1"/>
    <row r="38" s="1" customFormat="1" ht="15.75" customHeight="1"/>
    <row r="39" s="1" customFormat="1" ht="15.75" customHeight="1"/>
    <row r="40" s="1" customFormat="1" ht="15.75" customHeight="1"/>
    <row r="41" s="1" customFormat="1" ht="15.75" customHeight="1"/>
    <row r="42" s="1" customFormat="1" ht="15.75" customHeight="1"/>
    <row r="43" s="1" customFormat="1" ht="15.75" customHeight="1"/>
    <row r="44" s="1" customFormat="1" ht="15.75" customHeight="1"/>
    <row r="45" s="1" customFormat="1" ht="15.75" customHeight="1"/>
    <row r="46" s="1" customFormat="1" ht="15.75" customHeight="1"/>
    <row r="47" s="1" customFormat="1" ht="15.75" customHeight="1"/>
    <row r="48" s="1" customFormat="1" ht="15.75" customHeight="1"/>
    <row r="49" s="1" customFormat="1" ht="15.75" customHeight="1"/>
    <row r="50" s="1" customFormat="1" ht="15.75" customHeight="1"/>
    <row r="51" s="1" customFormat="1" ht="15.75" customHeight="1"/>
    <row r="52" s="1" customFormat="1" ht="15.75" customHeight="1"/>
    <row r="53" s="1" customFormat="1" ht="15.75" customHeight="1"/>
    <row r="54" s="1" customFormat="1" ht="15.75" customHeight="1"/>
    <row r="55" s="1" customFormat="1" ht="15.75" customHeight="1"/>
    <row r="56" s="1" customFormat="1" ht="15.75" customHeight="1"/>
    <row r="57" s="1" customFormat="1" ht="15.75" customHeight="1"/>
    <row r="58" s="1" customFormat="1" ht="15.75" customHeight="1"/>
    <row r="59" s="1" customFormat="1" ht="15.75" customHeight="1"/>
    <row r="60" s="1" customFormat="1" ht="15.75" customHeight="1"/>
    <row r="61" s="1" customFormat="1" ht="15.75" customHeight="1"/>
    <row r="62" s="1" customFormat="1" ht="15.75" customHeight="1"/>
    <row r="63" s="1" customFormat="1" ht="15.75" customHeight="1"/>
    <row r="64" s="1" customFormat="1" ht="15.75" customHeight="1"/>
    <row r="65" s="1" customFormat="1" ht="15.75" customHeight="1"/>
    <row r="66" s="1" customFormat="1" ht="15.75" customHeight="1"/>
    <row r="67" s="1" customFormat="1" ht="15.75" customHeight="1"/>
    <row r="68" s="1" customFormat="1" ht="15.75" customHeight="1"/>
    <row r="69" s="1" customFormat="1" ht="15.75" customHeight="1"/>
    <row r="70" s="1" customFormat="1" ht="15.75" customHeight="1"/>
    <row r="71" s="1" customFormat="1" ht="15.75" customHeight="1"/>
    <row r="72" s="1" customFormat="1" ht="15.75" customHeight="1"/>
    <row r="73" s="1" customFormat="1" ht="15.75" customHeight="1"/>
    <row r="74" s="1" customFormat="1" ht="15.75" customHeight="1"/>
    <row r="75" s="1" customFormat="1" ht="15.75" customHeight="1"/>
    <row r="76" s="1" customFormat="1" ht="15.75" customHeight="1"/>
    <row r="77" s="1" customFormat="1" ht="15.75" customHeight="1"/>
    <row r="78" s="1" customFormat="1" ht="15.75" customHeight="1"/>
    <row r="79" s="1" customFormat="1" ht="15.75" customHeight="1"/>
    <row r="80" s="1" customFormat="1" ht="15.75" customHeight="1"/>
    <row r="81" s="1" customFormat="1" ht="15.75" customHeight="1"/>
    <row r="82" s="1" customFormat="1" ht="15.75" customHeight="1"/>
    <row r="83" s="1" customFormat="1" ht="15.75" customHeight="1"/>
    <row r="84" s="1" customFormat="1" ht="15.75" customHeight="1"/>
    <row r="85" s="1" customFormat="1" ht="15.75" customHeight="1"/>
    <row r="86" s="1" customFormat="1" ht="15.75" customHeight="1"/>
    <row r="87" s="1" customFormat="1" ht="15.75" customHeight="1"/>
    <row r="88" s="1" customFormat="1" ht="15.75" customHeight="1"/>
    <row r="89" s="1" customFormat="1" ht="15.75" customHeight="1"/>
    <row r="90" s="1" customFormat="1" ht="15.75" customHeight="1"/>
    <row r="91" s="1" customFormat="1" ht="15.75" customHeight="1"/>
    <row r="92" s="1" customFormat="1" ht="15.75" customHeight="1"/>
    <row r="93" s="1" customFormat="1" ht="15.75" customHeight="1"/>
    <row r="94" s="1" customFormat="1" ht="15.75" customHeight="1"/>
    <row r="95" s="1" customFormat="1" ht="15.75" customHeight="1"/>
    <row r="96" s="1" customFormat="1" ht="15.75" customHeight="1"/>
    <row r="97" s="1" customFormat="1" ht="15.75" customHeight="1"/>
    <row r="98" s="1" customFormat="1" ht="15.75" customHeight="1"/>
    <row r="99" s="1" customFormat="1" ht="15.75" customHeight="1"/>
    <row r="100" s="1" customFormat="1" ht="15.75" customHeight="1"/>
    <row r="101" s="1" customFormat="1" ht="15.75" customHeight="1"/>
    <row r="102" s="1" customFormat="1" ht="15.75" customHeight="1"/>
    <row r="103" s="1" customFormat="1" ht="15.75" customHeight="1"/>
    <row r="104" s="1" customFormat="1" ht="15.75" customHeight="1"/>
    <row r="105" s="1" customFormat="1" ht="15.75" customHeight="1"/>
    <row r="106" s="1" customFormat="1" ht="15.75" customHeight="1"/>
    <row r="107" s="1" customFormat="1" ht="15.75" customHeight="1"/>
    <row r="108" s="1" customFormat="1" ht="15.75" customHeight="1"/>
    <row r="109" s="1" customFormat="1" ht="15.75" customHeight="1"/>
    <row r="110" s="1" customFormat="1" ht="15.75" customHeight="1"/>
    <row r="111" s="1" customFormat="1" ht="15.75" customHeight="1"/>
    <row r="112" s="1" customFormat="1" ht="15.75" customHeight="1"/>
    <row r="113" s="1" customFormat="1" ht="15.75" customHeight="1"/>
    <row r="114" s="1" customFormat="1" ht="15.75" customHeight="1"/>
    <row r="115" s="1" customFormat="1" ht="15.75" customHeight="1"/>
    <row r="116" s="1" customFormat="1" ht="15.75" customHeight="1"/>
    <row r="117" s="1" customFormat="1" ht="15.75" customHeight="1"/>
    <row r="118" s="1" customFormat="1" ht="15.75" customHeight="1"/>
    <row r="119" s="1" customFormat="1" ht="15.75" customHeight="1"/>
    <row r="120" s="1" customFormat="1" ht="15.75" customHeight="1"/>
    <row r="121" s="1" customFormat="1" ht="15.75" customHeight="1"/>
    <row r="122" s="1" customFormat="1" ht="15.75" customHeight="1"/>
    <row r="123" s="1" customFormat="1" ht="15.75" customHeight="1"/>
    <row r="124" s="1" customFormat="1" ht="15.75" customHeight="1"/>
    <row r="125" s="1" customFormat="1" ht="15.75" customHeight="1"/>
    <row r="126" s="1" customFormat="1" ht="15.75" customHeight="1"/>
    <row r="127" s="1" customFormat="1" ht="15.75" customHeight="1"/>
    <row r="128" s="1" customFormat="1" ht="15.75" customHeight="1"/>
    <row r="129" s="1" customFormat="1" ht="15.75" customHeight="1"/>
    <row r="130" s="1" customFormat="1" ht="15.75" customHeight="1"/>
    <row r="131" s="1" customFormat="1" ht="15.75" customHeight="1"/>
    <row r="132" s="1" customFormat="1" ht="15.75" customHeight="1"/>
    <row r="133" s="1" customFormat="1" ht="15.75" customHeight="1"/>
    <row r="134" s="1" customFormat="1" ht="15.75" customHeight="1"/>
    <row r="135" s="1" customFormat="1" ht="15.75" customHeight="1"/>
    <row r="136" s="1" customFormat="1" ht="15.75" customHeight="1"/>
    <row r="137" s="1" customFormat="1" ht="15.75" customHeight="1"/>
    <row r="138" s="1" customFormat="1" ht="15.75" customHeight="1"/>
    <row r="139" s="1" customFormat="1" ht="15.75" customHeight="1"/>
    <row r="140" s="1" customFormat="1" ht="15.75" customHeight="1"/>
    <row r="141" s="1" customFormat="1" ht="15.75" customHeight="1"/>
    <row r="142" s="1" customFormat="1" ht="15.75" customHeight="1"/>
    <row r="143" s="1" customFormat="1" ht="15.75" customHeight="1"/>
    <row r="144" s="1" customFormat="1" ht="15.75" customHeight="1"/>
    <row r="145" s="1" customFormat="1" ht="15.75" customHeight="1"/>
    <row r="146" s="1" customFormat="1" ht="15.75" customHeight="1"/>
    <row r="147" s="1" customFormat="1" ht="15.75" customHeight="1"/>
    <row r="148" s="1" customFormat="1" ht="15.75" customHeight="1"/>
    <row r="149" s="1" customFormat="1" ht="15.75" customHeight="1"/>
    <row r="150" s="1" customFormat="1" ht="15.75" customHeight="1"/>
    <row r="151" s="1" customFormat="1" ht="15.75" customHeight="1"/>
    <row r="152" s="1" customFormat="1" ht="15.75" customHeight="1"/>
    <row r="153" s="1" customFormat="1" ht="15.75" customHeight="1"/>
    <row r="154" s="1" customFormat="1" ht="15.75" customHeight="1"/>
    <row r="155" s="1" customFormat="1" ht="15.75" customHeight="1"/>
    <row r="156" s="1" customFormat="1" ht="15.75" customHeight="1"/>
    <row r="157" s="1" customFormat="1" ht="15.75" customHeight="1"/>
    <row r="158" s="1" customFormat="1" ht="15.75" customHeight="1"/>
    <row r="159" s="1" customFormat="1" ht="15.75" customHeight="1"/>
    <row r="160" s="1" customFormat="1" ht="15.75" customHeight="1"/>
    <row r="161" s="1" customFormat="1" ht="15.75" customHeight="1"/>
    <row r="162" s="1" customFormat="1" ht="15.75" customHeight="1"/>
    <row r="163" s="1" customFormat="1" ht="15.75" customHeight="1"/>
    <row r="164" s="1" customFormat="1" ht="15.75" customHeight="1"/>
    <row r="165" s="1" customFormat="1" ht="15.75" customHeight="1"/>
    <row r="166" s="1" customFormat="1" ht="15.75" customHeight="1"/>
    <row r="167" s="1" customFormat="1" ht="15.75" customHeight="1"/>
    <row r="168" s="1" customFormat="1" ht="15.75" customHeight="1"/>
    <row r="169" s="1" customFormat="1" ht="15.75" customHeight="1"/>
    <row r="170" s="1" customFormat="1" ht="15.75" customHeight="1"/>
    <row r="171" s="1" customFormat="1" ht="15.75" customHeight="1"/>
    <row r="172" s="1" customFormat="1" ht="15.75" customHeight="1"/>
    <row r="173" s="1" customFormat="1" ht="15.75" customHeight="1"/>
    <row r="174" s="1" customFormat="1" ht="15.75" customHeight="1"/>
    <row r="175" s="1" customFormat="1" ht="15.75" customHeight="1"/>
    <row r="176" s="1" customFormat="1" ht="15.75" customHeight="1"/>
    <row r="177" s="1" customFormat="1" ht="15.75" customHeight="1"/>
    <row r="178" s="1" customFormat="1" ht="15.75" customHeight="1"/>
    <row r="179" s="1" customFormat="1" ht="15.75" customHeight="1"/>
    <row r="180" s="1" customFormat="1" ht="15.75" customHeight="1"/>
    <row r="181" s="1" customFormat="1" ht="15.75" customHeight="1"/>
    <row r="182" s="1" customFormat="1" ht="15.75" customHeight="1"/>
    <row r="183" s="1" customFormat="1" ht="15.75" customHeight="1"/>
    <row r="184" s="1" customFormat="1" ht="15.75" customHeight="1"/>
    <row r="185" s="1" customFormat="1" ht="15.75" customHeight="1"/>
    <row r="186" s="1" customFormat="1" ht="15.75" customHeight="1"/>
    <row r="187" s="1" customFormat="1" ht="15.75" customHeight="1"/>
    <row r="188" s="1" customFormat="1" ht="15.75" customHeight="1"/>
    <row r="189" s="1" customFormat="1" ht="15.75" customHeight="1"/>
    <row r="190" s="1" customFormat="1" ht="15.75" customHeight="1"/>
    <row r="191" s="1" customFormat="1" ht="15.75" customHeight="1"/>
    <row r="192" s="1" customFormat="1" ht="15.75" customHeight="1"/>
    <row r="193" s="1" customFormat="1" ht="15.75" customHeight="1"/>
    <row r="194" s="1" customFormat="1" ht="15.75" customHeight="1"/>
    <row r="195" s="1" customFormat="1" ht="15.75" customHeight="1"/>
    <row r="196" s="1" customFormat="1" ht="15.75" customHeight="1"/>
    <row r="197" s="1" customFormat="1" ht="15.75" customHeight="1"/>
    <row r="198" s="1" customFormat="1" ht="15.75" customHeight="1"/>
    <row r="199" s="1" customFormat="1" ht="15.75" customHeight="1"/>
    <row r="200" s="1" customFormat="1" ht="15.75" customHeight="1"/>
    <row r="201" s="1" customFormat="1" ht="15.75" customHeight="1"/>
    <row r="202" s="1" customFormat="1" ht="15.75" customHeight="1"/>
    <row r="203" s="1" customFormat="1" ht="15.75" customHeight="1"/>
    <row r="204" s="1" customFormat="1" ht="15.75" customHeight="1"/>
    <row r="205" s="1" customFormat="1" ht="15.75" customHeight="1"/>
    <row r="206" s="1" customFormat="1" ht="15.75" customHeight="1"/>
    <row r="207" s="1" customFormat="1" ht="15.75" customHeight="1"/>
    <row r="208" s="1" customFormat="1" ht="15.75" customHeight="1"/>
    <row r="209" s="1" customFormat="1" ht="15.75" customHeight="1"/>
    <row r="210" s="1" customFormat="1" ht="15.75" customHeight="1"/>
    <row r="211" s="1" customFormat="1" ht="15.75" customHeight="1"/>
    <row r="212" s="1" customFormat="1" ht="15.75" customHeight="1"/>
    <row r="213" s="1" customFormat="1" ht="15.75" customHeight="1"/>
    <row r="214" s="1" customFormat="1" ht="15.75" customHeight="1"/>
    <row r="215" s="1" customFormat="1" ht="15.75" customHeight="1"/>
    <row r="216" s="1" customFormat="1" ht="15.75" customHeight="1"/>
    <row r="217" s="1" customFormat="1" ht="15.75" customHeight="1"/>
    <row r="218" s="1" customFormat="1" ht="15.75" customHeight="1"/>
    <row r="219" s="1" customFormat="1" ht="15.75" customHeight="1"/>
    <row r="220" s="1" customFormat="1" ht="15.75" customHeight="1"/>
    <row r="221" s="1" customFormat="1" ht="15.75" customHeight="1"/>
    <row r="222" s="1" customFormat="1" ht="15.75" customHeight="1"/>
    <row r="223" s="1" customFormat="1" ht="15.75" customHeight="1"/>
    <row r="224" s="1" customFormat="1" ht="15.75" customHeight="1"/>
    <row r="225" s="1" customFormat="1" ht="15.75" customHeight="1"/>
    <row r="226" s="1" customFormat="1" ht="15.75" customHeight="1"/>
    <row r="227" s="1" customFormat="1" ht="15.75" customHeight="1"/>
    <row r="228" s="1" customFormat="1" ht="15.75" customHeight="1"/>
    <row r="229" s="1" customFormat="1" ht="15.75" customHeight="1"/>
    <row r="230" s="1" customFormat="1" ht="15.75" customHeight="1"/>
    <row r="231" s="1" customFormat="1" ht="15.75" customHeight="1"/>
    <row r="232" s="1" customFormat="1" ht="15.75" customHeight="1"/>
    <row r="233" s="1" customFormat="1" ht="15.75" customHeight="1"/>
    <row r="234" s="1" customFormat="1" ht="15.75" customHeight="1"/>
    <row r="235" s="1" customFormat="1" ht="15.75" customHeight="1"/>
    <row r="236" s="1" customFormat="1" ht="15.75" customHeight="1"/>
    <row r="237" s="1" customFormat="1" ht="15.75" customHeight="1"/>
    <row r="238" s="1" customFormat="1" ht="15.75" customHeight="1"/>
    <row r="239" s="1" customFormat="1" ht="15.75" customHeight="1"/>
    <row r="240" s="1" customFormat="1" ht="15.75" customHeight="1"/>
    <row r="241" s="1" customFormat="1" ht="15.75" customHeight="1"/>
    <row r="242" s="1" customFormat="1" ht="15.75" customHeight="1"/>
    <row r="243" s="1" customFormat="1" ht="15.75" customHeight="1"/>
    <row r="244" s="1" customFormat="1" ht="15.75" customHeight="1"/>
    <row r="245" s="1" customFormat="1" ht="15.75" customHeight="1"/>
    <row r="246" s="1" customFormat="1" ht="15.75" customHeight="1"/>
    <row r="247" s="1" customFormat="1" ht="15.75" customHeight="1"/>
    <row r="248" s="1" customFormat="1" ht="15.75" customHeight="1"/>
    <row r="249" s="1" customFormat="1" ht="15.75" customHeight="1"/>
    <row r="250" s="1" customFormat="1" ht="15.75" customHeight="1"/>
    <row r="251" s="1" customFormat="1" ht="15.75" customHeight="1"/>
    <row r="252" s="1" customFormat="1" ht="15.75" customHeight="1"/>
    <row r="253" s="1" customFormat="1" ht="15.75" customHeight="1"/>
    <row r="254" s="1" customFormat="1" ht="15.75" customHeight="1"/>
    <row r="255" s="1" customFormat="1" ht="15.75" customHeight="1"/>
    <row r="256" s="1" customFormat="1" ht="15.75" customHeight="1"/>
    <row r="257" s="1" customFormat="1" ht="15.75" customHeight="1"/>
    <row r="258" s="1" customFormat="1" ht="15.75" customHeight="1"/>
    <row r="259" s="1" customFormat="1" ht="15.75" customHeight="1"/>
    <row r="260" s="1" customFormat="1" ht="15.75" customHeight="1"/>
    <row r="261" s="1" customFormat="1" ht="15.75" customHeight="1"/>
    <row r="262" s="1" customFormat="1" ht="15.75" customHeight="1"/>
    <row r="263" s="1" customFormat="1" ht="15.75" customHeight="1"/>
    <row r="264" s="1" customFormat="1" ht="15.75" customHeight="1"/>
    <row r="265" s="1" customFormat="1" ht="15.75" customHeight="1"/>
    <row r="266" s="1" customFormat="1" ht="15.75" customHeight="1"/>
    <row r="267" s="1" customFormat="1" ht="15.75" customHeight="1"/>
    <row r="268" s="1" customFormat="1" ht="15.75" customHeight="1"/>
    <row r="269" s="1" customFormat="1" ht="15.75" customHeight="1"/>
    <row r="270" s="1" customFormat="1" ht="15.75" customHeight="1"/>
    <row r="271" s="1" customFormat="1" ht="15.75" customHeight="1"/>
    <row r="272" s="1" customFormat="1" ht="15.75" customHeight="1"/>
    <row r="273" s="1" customFormat="1" ht="15.75" customHeight="1"/>
    <row r="274" s="1" customFormat="1" ht="15.75" customHeight="1"/>
    <row r="275" s="1" customFormat="1" ht="15.75" customHeight="1"/>
    <row r="276" s="1" customFormat="1" ht="15.75" customHeight="1"/>
    <row r="277" s="1" customFormat="1" ht="15.75" customHeight="1"/>
    <row r="278" s="1" customFormat="1" ht="15.75" customHeight="1"/>
    <row r="279" s="1" customFormat="1" ht="15.75" customHeight="1"/>
    <row r="280" s="1" customFormat="1" ht="15.75" customHeight="1"/>
    <row r="281" s="1" customFormat="1" ht="15.75" customHeight="1"/>
    <row r="282" s="1" customFormat="1" ht="15.75" customHeight="1"/>
    <row r="283" s="1" customFormat="1" ht="15.75" customHeight="1"/>
    <row r="284" s="1" customFormat="1" ht="15.75" customHeight="1"/>
    <row r="285" s="1" customFormat="1" ht="15.75" customHeight="1"/>
    <row r="286" s="1" customFormat="1" ht="15.75" customHeight="1"/>
    <row r="287" s="1" customFormat="1" ht="15.75" customHeight="1"/>
    <row r="288" s="1" customFormat="1" ht="15.75" customHeight="1"/>
    <row r="289" s="1" customFormat="1" ht="15.75" customHeight="1"/>
    <row r="290" s="1" customFormat="1" ht="15.75" customHeight="1"/>
    <row r="291" s="1" customFormat="1" ht="15.75" customHeight="1"/>
    <row r="292" s="1" customFormat="1" ht="15.75" customHeight="1"/>
    <row r="293" s="1" customFormat="1" ht="15.75" customHeight="1"/>
    <row r="294" s="1" customFormat="1" ht="15.75" customHeight="1"/>
    <row r="295" s="1" customFormat="1" ht="15.75" customHeight="1"/>
    <row r="296" s="1" customFormat="1" ht="15.75" customHeight="1"/>
    <row r="297" s="1" customFormat="1" ht="15.75" customHeight="1"/>
    <row r="298" s="1" customFormat="1" ht="15.75" customHeight="1"/>
    <row r="299" s="1" customFormat="1" ht="15.75" customHeight="1"/>
    <row r="300" s="1" customFormat="1" ht="15.75" customHeight="1"/>
    <row r="301" s="1" customFormat="1" ht="15.75" customHeight="1"/>
    <row r="302" s="1" customFormat="1" ht="15.75" customHeight="1"/>
    <row r="303" s="1" customFormat="1" ht="15.75" customHeight="1"/>
    <row r="304" s="1" customFormat="1" ht="15.75" customHeight="1"/>
    <row r="305" s="1" customFormat="1" ht="15.75" customHeight="1"/>
    <row r="306" s="1" customFormat="1" ht="15.75" customHeight="1"/>
    <row r="307" s="1" customFormat="1" ht="15.75" customHeight="1"/>
    <row r="308" s="1" customFormat="1" ht="15.75" customHeight="1"/>
    <row r="309" s="1" customFormat="1" ht="15.75" customHeight="1"/>
    <row r="310" s="1" customFormat="1" ht="15.75" customHeight="1"/>
    <row r="311" s="1" customFormat="1" ht="15.75" customHeight="1"/>
    <row r="312" s="1" customFormat="1" ht="15.75" customHeight="1"/>
    <row r="313" s="1" customFormat="1" ht="15.75" customHeight="1"/>
    <row r="314" s="1" customFormat="1" ht="15.75" customHeight="1"/>
    <row r="315" s="1" customFormat="1" ht="15.75" customHeight="1"/>
    <row r="316" s="1" customFormat="1" ht="15.75" customHeight="1"/>
    <row r="317" s="1" customFormat="1" ht="15.75" customHeight="1"/>
    <row r="318" s="1" customFormat="1" ht="15.75" customHeight="1"/>
    <row r="319" s="1" customFormat="1" ht="15.75" customHeight="1"/>
    <row r="320" s="1" customFormat="1" ht="15.75" customHeight="1"/>
    <row r="321" s="1" customFormat="1" ht="15.75" customHeight="1"/>
    <row r="322" s="1" customFormat="1" ht="15.75" customHeight="1"/>
    <row r="323" s="1" customFormat="1" ht="15.75" customHeight="1"/>
    <row r="324" s="1" customFormat="1" ht="15.75" customHeight="1"/>
    <row r="325" s="1" customFormat="1" ht="15.75" customHeight="1"/>
    <row r="326" s="1" customFormat="1" ht="15.75" customHeight="1"/>
    <row r="327" s="1" customFormat="1" ht="15.75" customHeight="1"/>
    <row r="328" s="1" customFormat="1" ht="15.75" customHeight="1"/>
    <row r="329" s="1" customFormat="1" ht="15.75" customHeight="1"/>
    <row r="330" s="1" customFormat="1" ht="15.75" customHeight="1"/>
    <row r="331" s="1" customFormat="1" ht="15.75" customHeight="1"/>
    <row r="332" s="1" customFormat="1" ht="15.75" customHeight="1"/>
    <row r="333" s="1" customFormat="1" ht="15.75" customHeight="1"/>
    <row r="334" s="1" customFormat="1" ht="15.75" customHeight="1"/>
    <row r="335" s="1" customFormat="1" ht="15.75" customHeight="1"/>
    <row r="336" s="1" customFormat="1" ht="15.75" customHeight="1"/>
    <row r="337" s="1" customFormat="1" ht="15.75" customHeight="1"/>
    <row r="338" s="1" customFormat="1" ht="15.75" customHeight="1"/>
    <row r="339" s="1" customFormat="1" ht="15.75" customHeight="1"/>
    <row r="340" s="1" customFormat="1" ht="15.75" customHeight="1"/>
    <row r="341" s="1" customFormat="1" ht="15.75" customHeight="1"/>
    <row r="342" s="1" customFormat="1" ht="15.75" customHeight="1"/>
    <row r="343" s="1" customFormat="1" ht="15.75" customHeight="1"/>
    <row r="344" s="1" customFormat="1" ht="15.75" customHeight="1"/>
    <row r="345" s="1" customFormat="1" ht="15.75" customHeight="1"/>
    <row r="346" s="1" customFormat="1" ht="15.75" customHeight="1"/>
    <row r="347" s="1" customFormat="1" ht="15.75" customHeight="1"/>
    <row r="348" s="1" customFormat="1" ht="15.75" customHeight="1"/>
    <row r="349" s="1" customFormat="1" ht="15.75" customHeight="1"/>
    <row r="350" s="1" customFormat="1" ht="15.75" customHeight="1"/>
    <row r="351" s="1" customFormat="1" ht="15.75" customHeight="1"/>
    <row r="352" s="1" customFormat="1" ht="15.75" customHeight="1"/>
    <row r="353" s="1" customFormat="1" ht="15.75" customHeight="1"/>
    <row r="354" s="1" customFormat="1" ht="15.75" customHeight="1"/>
    <row r="355" s="1" customFormat="1" ht="15.75" customHeight="1"/>
    <row r="356" s="1" customFormat="1" ht="15.75" customHeight="1"/>
    <row r="357" s="1" customFormat="1" ht="15.75" customHeight="1"/>
    <row r="358" s="1" customFormat="1" ht="15.75" customHeight="1"/>
    <row r="359" s="1" customFormat="1" ht="15.75" customHeight="1"/>
    <row r="360" s="1" customFormat="1" ht="15.75" customHeight="1"/>
    <row r="361" s="1" customFormat="1" ht="15.75" customHeight="1"/>
    <row r="362" s="1" customFormat="1" ht="15.75" customHeight="1"/>
    <row r="363" s="1" customFormat="1" ht="15.75" customHeight="1"/>
    <row r="364" s="1" customFormat="1" ht="15.75" customHeight="1"/>
    <row r="365" s="1" customFormat="1" ht="15.75" customHeight="1"/>
    <row r="366" s="1" customFormat="1" ht="15.75" customHeight="1"/>
    <row r="367" s="1" customFormat="1" ht="15.75" customHeight="1"/>
    <row r="368" s="1" customFormat="1" ht="15.75" customHeight="1"/>
    <row r="369" s="1" customFormat="1" ht="15.75" customHeight="1"/>
    <row r="370" s="1" customFormat="1" ht="15.75" customHeight="1"/>
    <row r="371" s="1" customFormat="1" ht="15.75" customHeight="1"/>
    <row r="372" s="1" customFormat="1" ht="15.75" customHeight="1"/>
    <row r="373" s="1" customFormat="1" ht="15.75" customHeight="1"/>
    <row r="374" s="1" customFormat="1" ht="15.75" customHeight="1"/>
    <row r="375" s="1" customFormat="1" ht="15.75" customHeight="1"/>
    <row r="376" s="1" customFormat="1" ht="15.75" customHeight="1"/>
    <row r="377" s="1" customFormat="1" ht="15.75" customHeight="1"/>
    <row r="378" s="1" customFormat="1" ht="15.75" customHeight="1"/>
    <row r="379" s="1" customFormat="1" ht="15.75" customHeight="1"/>
    <row r="380" s="1" customFormat="1" ht="15.75" customHeight="1"/>
    <row r="381" s="1" customFormat="1" ht="15.75" customHeight="1"/>
    <row r="382" s="1" customFormat="1" ht="15.75" customHeight="1"/>
    <row r="383" s="1" customFormat="1" ht="15.75" customHeight="1"/>
    <row r="384" s="1" customFormat="1" ht="15.75" customHeight="1"/>
    <row r="385" s="1" customFormat="1" ht="15.75" customHeight="1"/>
    <row r="386" s="1" customFormat="1" ht="15.75" customHeight="1"/>
    <row r="387" s="1" customFormat="1" ht="15.75" customHeight="1"/>
    <row r="388" s="1" customFormat="1" ht="15.75" customHeight="1"/>
    <row r="389" s="1" customFormat="1" ht="15.75" customHeight="1"/>
    <row r="390" s="1" customFormat="1" ht="15.75" customHeight="1"/>
    <row r="391" s="1" customFormat="1" ht="15.75" customHeight="1"/>
    <row r="392" s="1" customFormat="1" ht="15.75" customHeight="1"/>
    <row r="393" s="1" customFormat="1" ht="15.75" customHeight="1"/>
    <row r="394" s="1" customFormat="1" ht="15.75" customHeight="1"/>
    <row r="395" s="1" customFormat="1" ht="15.75" customHeight="1"/>
    <row r="396" s="1" customFormat="1" ht="15.75" customHeight="1"/>
    <row r="397" s="1" customFormat="1" ht="15.75" customHeight="1"/>
    <row r="398" s="1" customFormat="1" ht="15.75" customHeight="1"/>
    <row r="399" s="1" customFormat="1" ht="15.75" customHeight="1"/>
    <row r="400" s="1" customFormat="1" ht="15.75" customHeight="1"/>
    <row r="401" s="1" customFormat="1" ht="15.75" customHeight="1"/>
    <row r="402" s="1" customFormat="1" ht="15.75" customHeight="1"/>
    <row r="403" s="1" customFormat="1" ht="15.75" customHeight="1"/>
    <row r="404" s="1" customFormat="1" ht="15.75" customHeight="1"/>
    <row r="405" s="1" customFormat="1" ht="15.75" customHeight="1"/>
    <row r="406" s="1" customFormat="1" ht="15.75" customHeight="1"/>
    <row r="407" s="1" customFormat="1" ht="15.75" customHeight="1"/>
    <row r="408" s="1" customFormat="1" ht="15.75" customHeight="1"/>
    <row r="409" s="1" customFormat="1" ht="15.75" customHeight="1"/>
    <row r="410" s="1" customFormat="1" ht="15.75" customHeight="1"/>
    <row r="411" s="1" customFormat="1" ht="15.75" customHeight="1"/>
    <row r="412" s="1" customFormat="1" ht="15.75" customHeight="1"/>
    <row r="413" s="1" customFormat="1" ht="15.75" customHeight="1"/>
    <row r="414" s="1" customFormat="1" ht="15.75" customHeight="1"/>
    <row r="415" s="1" customFormat="1" ht="15.75" customHeight="1"/>
    <row r="416" s="1" customFormat="1" ht="15.75" customHeight="1"/>
    <row r="417" s="1" customFormat="1" ht="15.75" customHeight="1"/>
    <row r="418" s="1" customFormat="1" ht="15.75" customHeight="1"/>
    <row r="419" s="1" customFormat="1" ht="15.75" customHeight="1"/>
    <row r="420" s="1" customFormat="1" ht="15.75" customHeight="1"/>
    <row r="421" s="1" customFormat="1" ht="15.75" customHeight="1"/>
    <row r="422" s="1" customFormat="1" ht="15.75" customHeight="1"/>
    <row r="423" s="1" customFormat="1" ht="15.75" customHeight="1"/>
    <row r="424" s="1" customFormat="1" ht="15.75" customHeight="1"/>
    <row r="425" s="1" customFormat="1" ht="15.75" customHeight="1"/>
    <row r="426" s="1" customFormat="1" ht="15.75" customHeight="1"/>
    <row r="427" s="1" customFormat="1" ht="15.75" customHeight="1"/>
    <row r="428" s="1" customFormat="1" ht="15.75" customHeight="1"/>
    <row r="429" s="1" customFormat="1" ht="15.75" customHeight="1"/>
    <row r="430" s="1" customFormat="1" ht="15.75" customHeight="1"/>
    <row r="431" s="1" customFormat="1" ht="15.75" customHeight="1"/>
    <row r="432" s="1" customFormat="1" ht="15.75" customHeight="1"/>
    <row r="433" s="1" customFormat="1" ht="15.75" customHeight="1"/>
    <row r="434" s="1" customFormat="1" ht="15.75" customHeight="1"/>
    <row r="435" s="1" customFormat="1" ht="15.75" customHeight="1"/>
    <row r="436" s="1" customFormat="1" ht="15.75" customHeight="1"/>
    <row r="437" s="1" customFormat="1" ht="15.75" customHeight="1"/>
    <row r="438" s="1" customFormat="1" ht="15.75" customHeight="1"/>
    <row r="439" s="1" customFormat="1" ht="15.75" customHeight="1"/>
    <row r="440" s="1" customFormat="1" ht="15.75" customHeight="1"/>
    <row r="441" s="1" customFormat="1" ht="15.75" customHeight="1"/>
    <row r="442" s="1" customFormat="1" ht="15.75" customHeight="1"/>
    <row r="443" s="1" customFormat="1" ht="15.75" customHeight="1"/>
    <row r="444" s="1" customFormat="1" ht="15.75" customHeight="1"/>
    <row r="445" s="1" customFormat="1" ht="15.75" customHeight="1"/>
    <row r="446" s="1" customFormat="1" ht="15.75" customHeight="1"/>
    <row r="447" s="1" customFormat="1" ht="15.75" customHeight="1"/>
    <row r="448" s="1" customFormat="1" ht="15.75" customHeight="1"/>
    <row r="449" s="1" customFormat="1" ht="15.75" customHeight="1"/>
    <row r="450" s="1" customFormat="1" ht="15.75" customHeight="1"/>
    <row r="451" s="1" customFormat="1" ht="15.75" customHeight="1"/>
    <row r="452" s="1" customFormat="1" ht="15.75" customHeight="1"/>
    <row r="453" s="1" customFormat="1" ht="15.75" customHeight="1"/>
    <row r="454" s="1" customFormat="1" ht="15.75" customHeight="1"/>
    <row r="455" s="1" customFormat="1" ht="15.75" customHeight="1"/>
    <row r="456" s="1" customFormat="1" ht="15.75" customHeight="1"/>
    <row r="457" s="1" customFormat="1" ht="15.75" customHeight="1"/>
    <row r="458" s="1" customFormat="1" ht="15.75" customHeight="1"/>
    <row r="459" s="1" customFormat="1" ht="15.75" customHeight="1"/>
    <row r="460" s="1" customFormat="1" ht="15.75" customHeight="1"/>
    <row r="461" s="1" customFormat="1" ht="15.75" customHeight="1"/>
    <row r="462" s="1" customFormat="1" ht="15.75" customHeight="1"/>
    <row r="463" s="1" customFormat="1" ht="15.75" customHeight="1"/>
    <row r="464" s="1" customFormat="1" ht="15.75" customHeight="1"/>
    <row r="465" s="1" customFormat="1" ht="15.75" customHeight="1"/>
    <row r="466" s="1" customFormat="1" ht="15.75" customHeight="1"/>
    <row r="467" s="1" customFormat="1" ht="15.75" customHeight="1"/>
    <row r="468" s="1" customFormat="1" ht="15.75" customHeight="1"/>
    <row r="469" s="1" customFormat="1" ht="15.75" customHeight="1"/>
    <row r="470" s="1" customFormat="1" ht="15.75" customHeight="1"/>
    <row r="471" s="1" customFormat="1" ht="15.75" customHeight="1"/>
    <row r="472" s="1" customFormat="1" ht="15.75" customHeight="1"/>
    <row r="473" s="1" customFormat="1" ht="15.75" customHeight="1"/>
    <row r="474" s="1" customFormat="1" ht="15.75" customHeight="1"/>
    <row r="475" s="1" customFormat="1" ht="15.75" customHeight="1"/>
    <row r="476" s="1" customFormat="1" ht="15.75" customHeight="1"/>
    <row r="477" s="1" customFormat="1" ht="15.75" customHeight="1"/>
    <row r="478" s="1" customFormat="1" ht="15.75" customHeight="1"/>
    <row r="479" s="1" customFormat="1" ht="15.75" customHeight="1"/>
    <row r="480" s="1" customFormat="1" ht="15.75" customHeight="1"/>
    <row r="481" s="1" customFormat="1" ht="15.75" customHeight="1"/>
    <row r="482" s="1" customFormat="1" ht="15.75" customHeight="1"/>
    <row r="483" s="1" customFormat="1" ht="15.75" customHeight="1"/>
    <row r="484" s="1" customFormat="1" ht="15.75" customHeight="1"/>
    <row r="485" s="1" customFormat="1" ht="15.75" customHeight="1"/>
    <row r="486" s="1" customFormat="1" ht="15.75" customHeight="1"/>
    <row r="487" s="1" customFormat="1" ht="15.75" customHeight="1"/>
    <row r="488" s="1" customFormat="1" ht="15.75" customHeight="1"/>
    <row r="489" s="1" customFormat="1" ht="15.75" customHeight="1"/>
    <row r="490" s="1" customFormat="1" ht="15.75" customHeight="1"/>
    <row r="491" s="1" customFormat="1" ht="15.75" customHeight="1"/>
    <row r="492" s="1" customFormat="1" ht="15.75" customHeight="1"/>
    <row r="493" s="1" customFormat="1" ht="15.75" customHeight="1"/>
    <row r="494" s="1" customFormat="1" ht="15.75" customHeight="1"/>
    <row r="495" s="1" customFormat="1" ht="15.75" customHeight="1"/>
    <row r="496" s="1" customFormat="1" ht="15.75" customHeight="1"/>
    <row r="497" s="1" customFormat="1" ht="15.75" customHeight="1"/>
    <row r="498" s="1" customFormat="1" ht="15.75" customHeight="1"/>
    <row r="499" s="1" customFormat="1" ht="15.75" customHeight="1"/>
    <row r="500" s="1" customFormat="1" ht="15.75" customHeight="1"/>
    <row r="501" s="1" customFormat="1" ht="15.75" customHeight="1"/>
    <row r="502" s="1" customFormat="1" ht="15.75" customHeight="1"/>
    <row r="503" s="1" customFormat="1" ht="15.75" customHeight="1"/>
    <row r="504" s="1" customFormat="1" ht="15.75" customHeight="1"/>
    <row r="505" s="1" customFormat="1" ht="15.75" customHeight="1"/>
    <row r="506" s="1" customFormat="1" ht="15.75" customHeight="1"/>
    <row r="507" s="1" customFormat="1" ht="15.75" customHeight="1"/>
    <row r="508" s="1" customFormat="1" ht="15.75" customHeight="1"/>
    <row r="509" s="1" customFormat="1" ht="15.75" customHeight="1"/>
    <row r="510" s="1" customFormat="1" ht="15.75" customHeight="1"/>
    <row r="511" s="1" customFormat="1" ht="15.75" customHeight="1"/>
    <row r="512" s="1" customFormat="1" ht="15.75" customHeight="1"/>
    <row r="513" s="1" customFormat="1" ht="15.75" customHeight="1"/>
    <row r="514" s="1" customFormat="1" ht="15.75" customHeight="1"/>
    <row r="515" s="1" customFormat="1" ht="15.75" customHeight="1"/>
    <row r="516" s="1" customFormat="1" ht="15.75" customHeight="1"/>
    <row r="517" s="1" customFormat="1" ht="15.75" customHeight="1"/>
    <row r="518" s="1" customFormat="1" ht="15.75" customHeight="1"/>
    <row r="519" s="1" customFormat="1" ht="15.75" customHeight="1"/>
    <row r="520" s="1" customFormat="1" ht="15.75" customHeight="1"/>
    <row r="521" s="1" customFormat="1" ht="15.75" customHeight="1"/>
    <row r="522" s="1" customFormat="1" ht="15.75" customHeight="1"/>
    <row r="523" s="1" customFormat="1" ht="15.75" customHeight="1"/>
    <row r="524" s="1" customFormat="1" ht="15.75" customHeight="1"/>
    <row r="525" s="1" customFormat="1" ht="15.75" customHeight="1"/>
    <row r="526" s="1" customFormat="1" ht="15.75" customHeight="1"/>
    <row r="527" s="1" customFormat="1" ht="15.75" customHeight="1"/>
    <row r="528" s="1" customFormat="1" ht="15.75" customHeight="1"/>
    <row r="529" s="1" customFormat="1" ht="15.75" customHeight="1"/>
    <row r="530" s="1" customFormat="1" ht="15.75" customHeight="1"/>
    <row r="531" s="1" customFormat="1" ht="15.75" customHeight="1"/>
    <row r="532" s="1" customFormat="1" ht="15.75" customHeight="1"/>
    <row r="533" s="1" customFormat="1" ht="15.75" customHeight="1"/>
    <row r="534" s="1" customFormat="1" ht="15.75" customHeight="1"/>
    <row r="535" s="1" customFormat="1" ht="15.75" customHeight="1"/>
    <row r="536" s="1" customFormat="1" ht="15.75" customHeight="1"/>
    <row r="537" s="1" customFormat="1" ht="15.75" customHeight="1"/>
    <row r="538" s="1" customFormat="1" ht="15.75" customHeight="1"/>
    <row r="539" s="1" customFormat="1" ht="15.75" customHeight="1"/>
    <row r="540" s="1" customFormat="1" ht="15.75" customHeight="1"/>
    <row r="541" s="1" customFormat="1" ht="15.75" customHeight="1"/>
    <row r="542" s="1" customFormat="1" ht="15.75" customHeight="1"/>
    <row r="543" s="1" customFormat="1" ht="15.75" customHeight="1"/>
    <row r="544" s="1" customFormat="1" ht="15.75" customHeight="1"/>
    <row r="545" s="1" customFormat="1" ht="15.75" customHeight="1"/>
    <row r="546" s="1" customFormat="1" ht="15.75" customHeight="1"/>
    <row r="547" s="1" customFormat="1" ht="15.75" customHeight="1"/>
    <row r="548" s="1" customFormat="1" ht="15.75" customHeight="1"/>
    <row r="549" s="1" customFormat="1" ht="15.75" customHeight="1"/>
    <row r="550" s="1" customFormat="1" ht="15.75" customHeight="1"/>
    <row r="551" s="1" customFormat="1" ht="15.75" customHeight="1"/>
    <row r="552" s="1" customFormat="1" ht="15.75" customHeight="1"/>
    <row r="553" s="1" customFormat="1" ht="15.75" customHeight="1"/>
    <row r="554" s="1" customFormat="1" ht="15.75" customHeight="1"/>
    <row r="555" s="1" customFormat="1" ht="15.75" customHeight="1"/>
    <row r="556" s="1" customFormat="1" ht="15.75" customHeight="1"/>
    <row r="557" s="1" customFormat="1" ht="15.75" customHeight="1"/>
    <row r="558" s="1" customFormat="1" ht="15.75" customHeight="1"/>
    <row r="559" s="1" customFormat="1" ht="15.75" customHeight="1"/>
    <row r="560" s="1" customFormat="1" ht="15.75" customHeight="1"/>
    <row r="561" s="1" customFormat="1" ht="15.75" customHeight="1"/>
    <row r="562" s="1" customFormat="1" ht="15.75" customHeight="1"/>
    <row r="563" s="1" customFormat="1" ht="15.75" customHeight="1"/>
    <row r="564" s="1" customFormat="1" ht="15.75" customHeight="1"/>
    <row r="565" s="1" customFormat="1" ht="15.75" customHeight="1"/>
    <row r="566" s="1" customFormat="1" ht="15.75" customHeight="1"/>
    <row r="567" s="1" customFormat="1" ht="15.75" customHeight="1"/>
    <row r="568" s="1" customFormat="1" ht="15.75" customHeight="1"/>
    <row r="569" s="1" customFormat="1" ht="15.75" customHeight="1"/>
    <row r="570" s="1" customFormat="1" ht="15.75" customHeight="1"/>
    <row r="571" s="1" customFormat="1" ht="15.75" customHeight="1"/>
    <row r="572" s="1" customFormat="1" ht="15.75" customHeight="1"/>
    <row r="573" s="1" customFormat="1" ht="15.75" customHeight="1"/>
    <row r="574" s="1" customFormat="1" ht="15.75" customHeight="1"/>
    <row r="575" s="1" customFormat="1" ht="15.75" customHeight="1"/>
    <row r="576" s="1" customFormat="1" ht="15.75" customHeight="1"/>
    <row r="577" s="1" customFormat="1" ht="15.75" customHeight="1"/>
    <row r="578" s="1" customFormat="1" ht="15.75" customHeight="1"/>
    <row r="579" s="1" customFormat="1" ht="15.75" customHeight="1"/>
    <row r="580" s="1" customFormat="1" ht="15.75" customHeight="1"/>
    <row r="581" s="1" customFormat="1" ht="15.75" customHeight="1"/>
    <row r="582" s="1" customFormat="1" ht="15.75" customHeight="1"/>
    <row r="583" s="1" customFormat="1" ht="15.75" customHeight="1"/>
    <row r="584" s="1" customFormat="1" ht="15.75" customHeight="1"/>
    <row r="585" s="1" customFormat="1" ht="15.75" customHeight="1"/>
    <row r="586" s="1" customFormat="1" ht="15.75" customHeight="1"/>
    <row r="587" s="1" customFormat="1" ht="15.75" customHeight="1"/>
    <row r="588" s="1" customFormat="1" ht="15.75" customHeight="1"/>
    <row r="589" s="1" customFormat="1" ht="15.75" customHeight="1"/>
    <row r="590" s="1" customFormat="1" ht="15.75" customHeight="1"/>
    <row r="591" s="1" customFormat="1" ht="15.75" customHeight="1"/>
    <row r="592" s="1" customFormat="1" ht="15.75" customHeight="1"/>
    <row r="593" s="1" customFormat="1" ht="15.75" customHeight="1"/>
    <row r="594" s="1" customFormat="1" ht="15.75" customHeight="1"/>
    <row r="595" s="1" customFormat="1" ht="15.75" customHeight="1"/>
    <row r="596" s="1" customFormat="1" ht="15.75" customHeight="1"/>
    <row r="597" s="1" customFormat="1" ht="15.75" customHeight="1"/>
    <row r="598" s="1" customFormat="1" ht="15.75" customHeight="1"/>
    <row r="599" s="1" customFormat="1" ht="15.75" customHeight="1"/>
    <row r="600" s="1" customFormat="1" ht="15.75" customHeight="1"/>
    <row r="601" s="1" customFormat="1" ht="15.75" customHeight="1"/>
    <row r="602" s="1" customFormat="1" ht="15.75" customHeight="1"/>
    <row r="603" s="1" customFormat="1" ht="15.75" customHeight="1"/>
    <row r="604" s="1" customFormat="1" ht="15.75" customHeight="1"/>
    <row r="605" s="1" customFormat="1" ht="15.75" customHeight="1"/>
    <row r="606" s="1" customFormat="1" ht="15.75" customHeight="1"/>
    <row r="607" s="1" customFormat="1" ht="15.75" customHeight="1"/>
    <row r="608" s="1" customFormat="1" ht="15.75" customHeight="1"/>
    <row r="609" s="1" customFormat="1" ht="15.75" customHeight="1"/>
    <row r="610" s="1" customFormat="1" ht="15.75" customHeight="1"/>
    <row r="611" s="1" customFormat="1" ht="15.75" customHeight="1"/>
    <row r="612" s="1" customFormat="1" ht="15.75" customHeight="1"/>
    <row r="613" s="1" customFormat="1" ht="15.75" customHeight="1"/>
    <row r="614" s="1" customFormat="1" ht="15.75" customHeight="1"/>
    <row r="615" s="1" customFormat="1" ht="15.75" customHeight="1"/>
    <row r="616" s="1" customFormat="1" ht="15.75" customHeight="1"/>
    <row r="617" s="1" customFormat="1" ht="15.75" customHeight="1"/>
    <row r="618" s="1" customFormat="1" ht="15.75" customHeight="1"/>
    <row r="619" s="1" customFormat="1" ht="15.75" customHeight="1"/>
    <row r="620" s="1" customFormat="1" ht="15.75" customHeight="1"/>
    <row r="621" s="1" customFormat="1" ht="15.75" customHeight="1"/>
    <row r="622" s="1" customFormat="1" ht="15.75" customHeight="1"/>
    <row r="623" s="1" customFormat="1" ht="15.75" customHeight="1"/>
    <row r="624" s="1" customFormat="1" ht="15.75" customHeight="1"/>
    <row r="625" s="1" customFormat="1" ht="15.75" customHeight="1"/>
    <row r="626" s="1" customFormat="1" ht="15.75" customHeight="1"/>
    <row r="627" s="1" customFormat="1" ht="15.75" customHeight="1"/>
    <row r="628" s="1" customFormat="1" ht="15.75" customHeight="1"/>
    <row r="629" s="1" customFormat="1" ht="15.75" customHeight="1"/>
    <row r="630" s="1" customFormat="1" ht="15.75" customHeight="1"/>
    <row r="631" s="1" customFormat="1" ht="15.75" customHeight="1"/>
    <row r="632" s="1" customFormat="1" ht="15.75" customHeight="1"/>
    <row r="633" s="1" customFormat="1" ht="15.75" customHeight="1"/>
    <row r="634" s="1" customFormat="1" ht="15.75" customHeight="1"/>
    <row r="635" s="1" customFormat="1" ht="15.75" customHeight="1"/>
    <row r="636" s="1" customFormat="1" ht="15.75" customHeight="1"/>
    <row r="637" s="1" customFormat="1" ht="15.75" customHeight="1"/>
    <row r="638" s="1" customFormat="1" ht="15.75" customHeight="1"/>
    <row r="639" s="1" customFormat="1" ht="15.75" customHeight="1"/>
    <row r="640" s="1" customFormat="1" ht="15.75" customHeight="1"/>
    <row r="641" s="1" customFormat="1" ht="15.75" customHeight="1"/>
    <row r="642" s="1" customFormat="1" ht="15.75" customHeight="1"/>
    <row r="643" s="1" customFormat="1" ht="15.75" customHeight="1"/>
    <row r="644" s="1" customFormat="1" ht="15.75" customHeight="1"/>
    <row r="645" s="1" customFormat="1" ht="15.75" customHeight="1"/>
    <row r="646" s="1" customFormat="1" ht="15.75" customHeight="1"/>
    <row r="647" s="1" customFormat="1" ht="15.75" customHeight="1"/>
    <row r="648" s="1" customFormat="1" ht="15.75" customHeight="1"/>
    <row r="649" s="1" customFormat="1" ht="15.75" customHeight="1"/>
    <row r="650" s="1" customFormat="1" ht="15.75" customHeight="1"/>
    <row r="651" s="1" customFormat="1" ht="15.75" customHeight="1"/>
    <row r="652" s="1" customFormat="1" ht="15.75" customHeight="1"/>
    <row r="653" s="1" customFormat="1" ht="15.75" customHeight="1"/>
    <row r="654" s="1" customFormat="1" ht="15.75" customHeight="1"/>
    <row r="655" s="1" customFormat="1" ht="15.75" customHeight="1"/>
    <row r="656" s="1" customFormat="1" ht="15.75" customHeight="1"/>
    <row r="657" s="1" customFormat="1" ht="15.75" customHeight="1"/>
    <row r="658" s="1" customFormat="1" ht="15.75" customHeight="1"/>
    <row r="659" s="1" customFormat="1" ht="15.75" customHeight="1"/>
    <row r="660" s="1" customFormat="1" ht="15.75" customHeight="1"/>
    <row r="661" s="1" customFormat="1" ht="15.75" customHeight="1"/>
    <row r="662" s="1" customFormat="1" ht="15.75" customHeight="1"/>
    <row r="663" s="1" customFormat="1" ht="15.75" customHeight="1"/>
    <row r="664" s="1" customFormat="1" ht="15.75" customHeight="1"/>
    <row r="665" s="1" customFormat="1" ht="15.75" customHeight="1"/>
    <row r="666" s="1" customFormat="1" ht="15.75" customHeight="1"/>
    <row r="667" s="1" customFormat="1" ht="15.75" customHeight="1"/>
    <row r="668" s="1" customFormat="1" ht="15.75" customHeight="1"/>
    <row r="669" s="1" customFormat="1" ht="15.75" customHeight="1"/>
    <row r="670" s="1" customFormat="1" ht="15.75" customHeight="1"/>
    <row r="671" s="1" customFormat="1" ht="15.75" customHeight="1"/>
    <row r="672" s="1" customFormat="1" ht="15.75" customHeight="1"/>
    <row r="673" s="1" customFormat="1" ht="15.75" customHeight="1"/>
    <row r="674" s="1" customFormat="1" ht="15.75" customHeight="1"/>
    <row r="675" s="1" customFormat="1" ht="15.75" customHeight="1"/>
    <row r="676" s="1" customFormat="1" ht="15.75" customHeight="1"/>
    <row r="677" s="1" customFormat="1" ht="15.75" customHeight="1"/>
    <row r="678" s="1" customFormat="1" ht="15.75" customHeight="1"/>
    <row r="679" s="1" customFormat="1" ht="15.75" customHeight="1"/>
    <row r="680" s="1" customFormat="1" ht="15.75" customHeight="1"/>
    <row r="681" s="1" customFormat="1" ht="15.75" customHeight="1"/>
    <row r="682" s="1" customFormat="1" ht="15.75" customHeight="1"/>
    <row r="683" s="1" customFormat="1" ht="15.75" customHeight="1"/>
    <row r="684" s="1" customFormat="1" ht="15.75" customHeight="1"/>
    <row r="685" s="1" customFormat="1" ht="15.75" customHeight="1"/>
    <row r="686" s="1" customFormat="1" ht="15.75" customHeight="1"/>
    <row r="687" s="1" customFormat="1" ht="15.75" customHeight="1"/>
    <row r="688" s="1" customFormat="1" ht="15.75" customHeight="1"/>
    <row r="689" s="1" customFormat="1" ht="15.75" customHeight="1"/>
    <row r="690" s="1" customFormat="1" ht="15.75" customHeight="1"/>
    <row r="691" s="1" customFormat="1" ht="15.75" customHeight="1"/>
    <row r="692" s="1" customFormat="1" ht="15.75" customHeight="1"/>
    <row r="693" s="1" customFormat="1" ht="15.75" customHeight="1"/>
    <row r="694" s="1" customFormat="1" ht="15.75" customHeight="1"/>
    <row r="695" s="1" customFormat="1" ht="15.75" customHeight="1"/>
    <row r="696" s="1" customFormat="1" ht="15.75" customHeight="1"/>
    <row r="697" s="1" customFormat="1" ht="15.75" customHeight="1"/>
    <row r="698" s="1" customFormat="1" ht="15.75" customHeight="1"/>
    <row r="699" s="1" customFormat="1" ht="15.75" customHeight="1"/>
    <row r="700" s="1" customFormat="1" ht="15.75" customHeight="1"/>
    <row r="701" s="1" customFormat="1" ht="15.75" customHeight="1"/>
    <row r="702" s="1" customFormat="1" ht="15.75" customHeight="1"/>
    <row r="703" s="1" customFormat="1" ht="15.75" customHeight="1"/>
    <row r="704" s="1" customFormat="1" ht="15.75" customHeight="1"/>
    <row r="705" s="1" customFormat="1" ht="15.75" customHeight="1"/>
    <row r="706" s="1" customFormat="1" ht="15.75" customHeight="1"/>
    <row r="707" s="1" customFormat="1" ht="15.75" customHeight="1"/>
    <row r="708" s="1" customFormat="1" ht="15.75" customHeight="1"/>
    <row r="709" s="1" customFormat="1" ht="15.75" customHeight="1"/>
    <row r="710" s="1" customFormat="1" ht="15.75" customHeight="1"/>
    <row r="711" s="1" customFormat="1" ht="15.75" customHeight="1"/>
    <row r="712" s="1" customFormat="1" ht="15.75" customHeight="1"/>
    <row r="713" s="1" customFormat="1" ht="15.75" customHeight="1"/>
    <row r="714" s="1" customFormat="1" ht="15.75" customHeight="1"/>
    <row r="715" s="1" customFormat="1" ht="15.75" customHeight="1"/>
    <row r="716" s="1" customFormat="1" ht="15.75" customHeight="1"/>
    <row r="717" s="1" customFormat="1" ht="15.75" customHeight="1"/>
    <row r="718" s="1" customFormat="1" ht="15.75" customHeight="1"/>
    <row r="719" s="1" customFormat="1" ht="15.75" customHeight="1"/>
    <row r="720" s="1" customFormat="1" ht="15.75" customHeight="1"/>
    <row r="721" s="1" customFormat="1" ht="15.75" customHeight="1"/>
    <row r="722" s="1" customFormat="1" ht="15.75" customHeight="1"/>
    <row r="723" s="1" customFormat="1" ht="15.75" customHeight="1"/>
    <row r="724" s="1" customFormat="1" ht="15.75" customHeight="1"/>
    <row r="725" s="1" customFormat="1" ht="15.75" customHeight="1"/>
    <row r="726" s="1" customFormat="1" ht="15.75" customHeight="1"/>
    <row r="727" s="1" customFormat="1" ht="15.75" customHeight="1"/>
    <row r="728" s="1" customFormat="1" ht="15.75" customHeight="1"/>
    <row r="729" s="1" customFormat="1" ht="15.75" customHeight="1"/>
    <row r="730" s="1" customFormat="1" ht="15.75" customHeight="1"/>
    <row r="731" s="1" customFormat="1" ht="15.75" customHeight="1"/>
    <row r="732" s="1" customFormat="1" ht="15.75" customHeight="1"/>
    <row r="733" s="1" customFormat="1" ht="15.75" customHeight="1"/>
    <row r="734" s="1" customFormat="1" ht="15.75" customHeight="1"/>
    <row r="735" s="1" customFormat="1" ht="15.75" customHeight="1"/>
    <row r="736" s="1" customFormat="1" ht="15.75" customHeight="1"/>
    <row r="737" s="1" customFormat="1" ht="15.75" customHeight="1"/>
    <row r="738" s="1" customFormat="1" ht="15.75" customHeight="1"/>
    <row r="739" s="1" customFormat="1" ht="15.75" customHeight="1"/>
    <row r="740" s="1" customFormat="1" ht="15.75" customHeight="1"/>
    <row r="741" s="1" customFormat="1" ht="15.75" customHeight="1"/>
    <row r="742" s="1" customFormat="1" ht="15.75" customHeight="1"/>
    <row r="743" s="1" customFormat="1" ht="15.75" customHeight="1"/>
    <row r="744" s="1" customFormat="1" ht="15.75" customHeight="1"/>
    <row r="745" s="1" customFormat="1" ht="15.75" customHeight="1"/>
    <row r="746" s="1" customFormat="1" ht="15.75" customHeight="1"/>
    <row r="747" s="1" customFormat="1" ht="15.75" customHeight="1"/>
    <row r="748" s="1" customFormat="1" ht="15.75" customHeight="1"/>
    <row r="749" s="1" customFormat="1" ht="15.75" customHeight="1"/>
    <row r="750" s="1" customFormat="1" ht="15.75" customHeight="1"/>
    <row r="751" s="1" customFormat="1" ht="15.75" customHeight="1"/>
    <row r="752" s="1" customFormat="1" ht="15.75" customHeight="1"/>
    <row r="753" s="1" customFormat="1" ht="15.75" customHeight="1"/>
    <row r="754" s="1" customFormat="1" ht="15.75" customHeight="1"/>
    <row r="755" s="1" customFormat="1" ht="15.75" customHeight="1"/>
    <row r="756" s="1" customFormat="1" ht="15.75" customHeight="1"/>
    <row r="757" s="1" customFormat="1" ht="15.75" customHeight="1"/>
    <row r="758" s="1" customFormat="1" ht="15.75" customHeight="1"/>
    <row r="759" s="1" customFormat="1" ht="15.75" customHeight="1"/>
    <row r="760" s="1" customFormat="1" ht="15.75" customHeight="1"/>
    <row r="761" s="1" customFormat="1" ht="15.75" customHeight="1"/>
    <row r="762" s="1" customFormat="1" ht="15.75" customHeight="1"/>
    <row r="763" s="1" customFormat="1" ht="15.75" customHeight="1"/>
    <row r="764" s="1" customFormat="1" ht="15.75" customHeight="1"/>
    <row r="765" s="1" customFormat="1" ht="15.75" customHeight="1"/>
    <row r="766" s="1" customFormat="1" ht="15.75" customHeight="1"/>
    <row r="767" s="1" customFormat="1" ht="15.75" customHeight="1"/>
    <row r="768" s="1" customFormat="1" ht="15.75" customHeight="1"/>
    <row r="769" s="1" customFormat="1" ht="15.75" customHeight="1"/>
    <row r="770" s="1" customFormat="1" ht="15.75" customHeight="1"/>
    <row r="771" s="1" customFormat="1" ht="15.75" customHeight="1"/>
    <row r="772" s="1" customFormat="1" ht="15.75" customHeight="1"/>
    <row r="773" s="1" customFormat="1" ht="15.75" customHeight="1"/>
    <row r="774" s="1" customFormat="1" ht="15.75" customHeight="1"/>
    <row r="775" s="1" customFormat="1" ht="15.75" customHeight="1"/>
    <row r="776" s="1" customFormat="1" ht="15.75" customHeight="1"/>
    <row r="777" s="1" customFormat="1" ht="15.75" customHeight="1"/>
    <row r="778" s="1" customFormat="1" ht="15.75" customHeight="1"/>
    <row r="779" s="1" customFormat="1" ht="15.75" customHeight="1"/>
    <row r="780" s="1" customFormat="1" ht="15.75" customHeight="1"/>
    <row r="781" s="1" customFormat="1" ht="15.75" customHeight="1"/>
    <row r="782" s="1" customFormat="1" ht="15.75" customHeight="1"/>
    <row r="783" s="1" customFormat="1" ht="15.75" customHeight="1"/>
    <row r="784" s="1" customFormat="1" ht="15.75" customHeight="1"/>
    <row r="785" s="1" customFormat="1" ht="15.75" customHeight="1"/>
    <row r="786" s="1" customFormat="1" ht="15.75" customHeight="1"/>
    <row r="787" s="1" customFormat="1" ht="15.75" customHeight="1"/>
    <row r="788" s="1" customFormat="1" ht="15.75" customHeight="1"/>
    <row r="789" s="1" customFormat="1" ht="15.75" customHeight="1"/>
    <row r="790" s="1" customFormat="1" ht="15.75" customHeight="1"/>
    <row r="791" s="1" customFormat="1" ht="15.75" customHeight="1"/>
    <row r="792" s="1" customFormat="1" ht="15.75" customHeight="1"/>
    <row r="793" s="1" customFormat="1" ht="15.75" customHeight="1"/>
    <row r="794" s="1" customFormat="1" ht="15.75" customHeight="1"/>
    <row r="795" s="1" customFormat="1" ht="15.75" customHeight="1"/>
    <row r="796" s="1" customFormat="1" ht="15.75" customHeight="1"/>
    <row r="797" s="1" customFormat="1" ht="15.75" customHeight="1"/>
    <row r="798" s="1" customFormat="1" ht="15.75" customHeight="1"/>
    <row r="799" s="1" customFormat="1" ht="15.75" customHeight="1"/>
    <row r="800" s="1" customFormat="1" ht="15.75" customHeight="1"/>
    <row r="801" s="1" customFormat="1" ht="15.75" customHeight="1"/>
    <row r="802" s="1" customFormat="1" ht="15.75" customHeight="1"/>
    <row r="803" s="1" customFormat="1" ht="15.75" customHeight="1"/>
    <row r="804" s="1" customFormat="1" ht="15.75" customHeight="1"/>
    <row r="805" s="1" customFormat="1" ht="15.75" customHeight="1"/>
    <row r="806" s="1" customFormat="1" ht="15.75" customHeight="1"/>
    <row r="807" s="1" customFormat="1" ht="15.75" customHeight="1"/>
    <row r="808" s="1" customFormat="1" ht="15.75" customHeight="1"/>
    <row r="809" s="1" customFormat="1" ht="15.75" customHeight="1"/>
    <row r="810" s="1" customFormat="1" ht="15.75" customHeight="1"/>
    <row r="811" s="1" customFormat="1" ht="15.75" customHeight="1"/>
    <row r="812" s="1" customFormat="1" ht="15.75" customHeight="1"/>
    <row r="813" s="1" customFormat="1" ht="15.75" customHeight="1"/>
    <row r="814" s="1" customFormat="1" ht="15.75" customHeight="1"/>
    <row r="815" s="1" customFormat="1" ht="15.75" customHeight="1"/>
    <row r="816" s="1" customFormat="1" ht="15.75" customHeight="1"/>
    <row r="817" s="1" customFormat="1" ht="15.75" customHeight="1"/>
    <row r="818" s="1" customFormat="1" ht="15.75" customHeight="1"/>
    <row r="819" s="1" customFormat="1" ht="15.75" customHeight="1"/>
    <row r="820" s="1" customFormat="1" ht="15.75" customHeight="1"/>
    <row r="821" s="1" customFormat="1" ht="15.75" customHeight="1"/>
    <row r="822" s="1" customFormat="1" ht="15.75" customHeight="1"/>
    <row r="823" s="1" customFormat="1" ht="15.75" customHeight="1"/>
    <row r="824" s="1" customFormat="1" ht="15.75" customHeight="1"/>
    <row r="825" s="1" customFormat="1" ht="15.75" customHeight="1"/>
    <row r="826" s="1" customFormat="1" ht="15.75" customHeight="1"/>
    <row r="827" s="1" customFormat="1" ht="15.75" customHeight="1"/>
    <row r="828" s="1" customFormat="1" ht="15.75" customHeight="1"/>
    <row r="829" s="1" customFormat="1" ht="15.75" customHeight="1"/>
    <row r="830" s="1" customFormat="1" ht="15.75" customHeight="1"/>
    <row r="831" s="1" customFormat="1" ht="15.75" customHeight="1"/>
    <row r="832" s="1" customFormat="1" ht="15.75" customHeight="1"/>
    <row r="833" s="1" customFormat="1" ht="15.75" customHeight="1"/>
    <row r="834" s="1" customFormat="1" ht="15.75" customHeight="1"/>
    <row r="835" s="1" customFormat="1" ht="15.75" customHeight="1"/>
    <row r="836" s="1" customFormat="1" ht="15.75" customHeight="1"/>
    <row r="837" s="1" customFormat="1" ht="15.75" customHeight="1"/>
    <row r="838" s="1" customFormat="1" ht="15.75" customHeight="1"/>
    <row r="839" s="1" customFormat="1" ht="15.75" customHeight="1"/>
    <row r="840" s="1" customFormat="1" ht="15.75" customHeight="1"/>
    <row r="841" s="1" customFormat="1" ht="15.75" customHeight="1"/>
    <row r="842" s="1" customFormat="1" ht="15.75" customHeight="1"/>
    <row r="843" s="1" customFormat="1" ht="15.75" customHeight="1"/>
    <row r="844" s="1" customFormat="1" ht="15.75" customHeight="1"/>
    <row r="845" s="1" customFormat="1" ht="15.75" customHeight="1"/>
    <row r="846" s="1" customFormat="1" ht="15.75" customHeight="1"/>
    <row r="847" s="1" customFormat="1" ht="15.75" customHeight="1"/>
    <row r="848" s="1" customFormat="1" ht="15.75" customHeight="1"/>
    <row r="849" s="1" customFormat="1" ht="15.75" customHeight="1"/>
    <row r="850" s="1" customFormat="1" ht="15.75" customHeight="1"/>
    <row r="851" s="1" customFormat="1" ht="15.75" customHeight="1"/>
    <row r="852" s="1" customFormat="1" ht="15.75" customHeight="1"/>
    <row r="853" s="1" customFormat="1" ht="15.75" customHeight="1"/>
    <row r="854" s="1" customFormat="1" ht="15.75" customHeight="1"/>
    <row r="855" s="1" customFormat="1" ht="15.75" customHeight="1"/>
    <row r="856" s="1" customFormat="1" ht="15.75" customHeight="1"/>
    <row r="857" s="1" customFormat="1" ht="15.75" customHeight="1"/>
    <row r="858" s="1" customFormat="1" ht="15.75" customHeight="1"/>
    <row r="859" s="1" customFormat="1" ht="15.75" customHeight="1"/>
    <row r="860" s="1" customFormat="1" ht="15.75" customHeight="1"/>
    <row r="861" s="1" customFormat="1" ht="15.75" customHeight="1"/>
    <row r="862" s="1" customFormat="1" ht="15.75" customHeight="1"/>
    <row r="863" s="1" customFormat="1" ht="15.75" customHeight="1"/>
    <row r="864" s="1" customFormat="1" ht="15.75" customHeight="1"/>
    <row r="865" s="1" customFormat="1" ht="15.75" customHeight="1"/>
    <row r="866" s="1" customFormat="1" ht="15.75" customHeight="1"/>
    <row r="867" s="1" customFormat="1" ht="15.75" customHeight="1"/>
    <row r="868" s="1" customFormat="1" ht="15.75" customHeight="1"/>
    <row r="869" s="1" customFormat="1" ht="15.75" customHeight="1"/>
    <row r="870" s="1" customFormat="1" ht="15.75" customHeight="1"/>
    <row r="871" s="1" customFormat="1" ht="15.75" customHeight="1"/>
    <row r="872" s="1" customFormat="1" ht="15.75" customHeight="1"/>
    <row r="873" s="1" customFormat="1" ht="15.75" customHeight="1"/>
    <row r="874" s="1" customFormat="1" ht="15.75" customHeight="1"/>
    <row r="875" s="1" customFormat="1" ht="15.75" customHeight="1"/>
    <row r="876" s="1" customFormat="1" ht="15.75" customHeight="1"/>
    <row r="877" s="1" customFormat="1" ht="15.75" customHeight="1"/>
    <row r="878" s="1" customFormat="1" ht="15.75" customHeight="1"/>
    <row r="879" s="1" customFormat="1" ht="15.75" customHeight="1"/>
    <row r="880" s="1" customFormat="1" ht="15.75" customHeight="1"/>
    <row r="881" s="1" customFormat="1" ht="15.75" customHeight="1"/>
    <row r="882" s="1" customFormat="1" ht="15.75" customHeight="1"/>
    <row r="883" s="1" customFormat="1" ht="15.75" customHeight="1"/>
    <row r="884" s="1" customFormat="1" ht="15.75" customHeight="1"/>
    <row r="885" s="1" customFormat="1" ht="15.75" customHeight="1"/>
    <row r="886" s="1" customFormat="1" ht="15.75" customHeight="1"/>
    <row r="887" s="1" customFormat="1" ht="15.75" customHeight="1"/>
    <row r="888" s="1" customFormat="1" ht="15.75" customHeight="1"/>
    <row r="889" s="1" customFormat="1" ht="15.75" customHeight="1"/>
    <row r="890" s="1" customFormat="1" ht="15.75" customHeight="1"/>
    <row r="891" s="1" customFormat="1" ht="15.75" customHeight="1"/>
    <row r="892" s="1" customFormat="1" ht="15.75" customHeight="1"/>
    <row r="893" s="1" customFormat="1" ht="15.75" customHeight="1"/>
    <row r="894" s="1" customFormat="1" ht="15.75" customHeight="1"/>
    <row r="895" s="1" customFormat="1" ht="15.75" customHeight="1"/>
    <row r="896" s="1" customFormat="1" ht="15.75" customHeight="1"/>
    <row r="897" s="1" customFormat="1" ht="15.75" customHeight="1"/>
    <row r="898" s="1" customFormat="1" ht="15.75" customHeight="1"/>
    <row r="899" s="1" customFormat="1" ht="15.75" customHeight="1"/>
    <row r="900" s="1" customFormat="1" ht="15.75" customHeight="1"/>
    <row r="901" s="1" customFormat="1" ht="15.75" customHeight="1"/>
    <row r="902" s="1" customFormat="1" ht="15.75" customHeight="1"/>
    <row r="903" s="1" customFormat="1" ht="15.75" customHeight="1"/>
    <row r="904" s="1" customFormat="1" ht="15.75" customHeight="1"/>
    <row r="905" s="1" customFormat="1" ht="15.75" customHeight="1"/>
    <row r="906" s="1" customFormat="1" ht="15.75" customHeight="1"/>
    <row r="907" s="1" customFormat="1" ht="15.75" customHeight="1"/>
    <row r="908" s="1" customFormat="1" ht="15.75" customHeight="1"/>
    <row r="909" s="1" customFormat="1" ht="15.75" customHeight="1"/>
    <row r="910" s="1" customFormat="1" ht="15.75" customHeight="1"/>
    <row r="911" s="1" customFormat="1" ht="15.75" customHeight="1"/>
    <row r="912" s="1" customFormat="1" ht="15.75" customHeight="1"/>
    <row r="913" s="1" customFormat="1" ht="15.75" customHeight="1"/>
    <row r="914" s="1" customFormat="1" ht="15.75" customHeight="1"/>
    <row r="915" s="1" customFormat="1" ht="15.75" customHeight="1"/>
    <row r="916" s="1" customFormat="1" ht="15.75" customHeight="1"/>
    <row r="917" s="1" customFormat="1" ht="15.75" customHeight="1"/>
    <row r="918" s="1" customFormat="1" ht="15.75" customHeight="1"/>
    <row r="919" s="1" customFormat="1" ht="15.75" customHeight="1"/>
    <row r="920" s="1" customFormat="1" ht="15.75" customHeight="1"/>
    <row r="921" s="1" customFormat="1" ht="15.75" customHeight="1"/>
    <row r="922" s="1" customFormat="1" ht="15.75" customHeight="1"/>
    <row r="923" s="1" customFormat="1" ht="15.75" customHeight="1"/>
    <row r="924" s="1" customFormat="1" ht="15.75" customHeight="1"/>
    <row r="925" s="1" customFormat="1" ht="15.75" customHeight="1"/>
    <row r="926" s="1" customFormat="1" ht="15.75" customHeight="1"/>
    <row r="927" s="1" customFormat="1" ht="15.75" customHeight="1"/>
    <row r="928" s="1" customFormat="1" ht="15.75" customHeight="1"/>
    <row r="929" s="1" customFormat="1" ht="15.75" customHeight="1"/>
    <row r="930" s="1" customFormat="1" ht="15.75" customHeight="1"/>
    <row r="931" s="1" customFormat="1" ht="15.75" customHeight="1"/>
    <row r="932" s="1" customFormat="1" ht="15.75" customHeight="1"/>
    <row r="933" s="1" customFormat="1" ht="15.75" customHeight="1"/>
    <row r="934" s="1" customFormat="1" ht="15.75" customHeight="1"/>
    <row r="935" s="1" customFormat="1" ht="15.75" customHeight="1"/>
    <row r="936" s="1" customFormat="1" ht="15.75" customHeight="1"/>
    <row r="937" s="1" customFormat="1" ht="15.75" customHeight="1"/>
    <row r="938" s="1" customFormat="1" ht="15.75" customHeight="1"/>
    <row r="939" s="1" customFormat="1" ht="15.75" customHeight="1"/>
    <row r="940" s="1" customFormat="1" ht="15.75" customHeight="1"/>
    <row r="941" s="1" customFormat="1" ht="15.75" customHeight="1"/>
    <row r="942" s="1" customFormat="1" ht="15.75" customHeight="1"/>
    <row r="943" s="1" customFormat="1" ht="15.75" customHeight="1"/>
    <row r="944" s="1" customFormat="1" ht="15.75" customHeight="1"/>
    <row r="945" s="1" customFormat="1" ht="15.75" customHeight="1"/>
    <row r="946" s="1" customFormat="1" ht="15.75" customHeight="1"/>
    <row r="947" s="1" customFormat="1" ht="15.75" customHeight="1"/>
    <row r="948" s="1" customFormat="1" ht="15.75" customHeight="1"/>
    <row r="949" s="1" customFormat="1" ht="15.75" customHeight="1"/>
    <row r="950" s="1" customFormat="1" ht="15.75" customHeight="1"/>
    <row r="951" s="1" customFormat="1" ht="15.75" customHeight="1"/>
    <row r="952" s="1" customFormat="1" ht="15.75" customHeight="1"/>
    <row r="953" s="1" customFormat="1" ht="15.75" customHeight="1"/>
    <row r="954" s="1" customFormat="1" ht="15.75" customHeight="1"/>
    <row r="955" s="1" customFormat="1" ht="15.75" customHeight="1"/>
    <row r="956" s="1" customFormat="1" ht="15.75" customHeight="1"/>
    <row r="957" s="1" customFormat="1" ht="15.75" customHeight="1"/>
    <row r="958" s="1" customFormat="1" ht="15.75" customHeight="1"/>
    <row r="959" s="1" customFormat="1" ht="15.75" customHeight="1"/>
    <row r="960" s="1" customFormat="1" ht="15.75" customHeight="1"/>
    <row r="961" s="1" customFormat="1" ht="15.75" customHeight="1"/>
    <row r="962" s="1" customFormat="1" ht="15.75" customHeight="1"/>
    <row r="963" s="1" customFormat="1" ht="15.75" customHeight="1"/>
    <row r="964" s="1" customFormat="1" ht="15.75" customHeight="1"/>
    <row r="965" s="1" customFormat="1" ht="15.75" customHeight="1"/>
    <row r="966" s="1" customFormat="1" ht="15.75" customHeight="1"/>
    <row r="967" s="1" customFormat="1" ht="15.75" customHeight="1"/>
    <row r="968" s="1" customFormat="1" ht="15.75" customHeight="1"/>
    <row r="969" s="1" customFormat="1" ht="15.75" customHeight="1"/>
    <row r="970" s="1" customFormat="1" ht="15.75" customHeight="1"/>
    <row r="971" s="1" customFormat="1" ht="15.75" customHeight="1"/>
    <row r="972" s="1" customFormat="1" ht="15.75" customHeight="1"/>
    <row r="973" s="1" customFormat="1" ht="15.75" customHeight="1"/>
    <row r="974" s="1" customFormat="1" ht="15.75" customHeight="1"/>
    <row r="975" s="1" customFormat="1" ht="15.75" customHeight="1"/>
    <row r="976" s="1" customFormat="1" ht="15.75" customHeight="1"/>
    <row r="977" s="1" customFormat="1" ht="15.75" customHeight="1"/>
    <row r="978" s="1" customFormat="1" ht="15.75" customHeight="1"/>
    <row r="979" s="1" customFormat="1" ht="15.75" customHeight="1"/>
    <row r="980" s="1" customFormat="1" ht="15.75" customHeight="1"/>
    <row r="981" s="1" customFormat="1" ht="15.75" customHeight="1"/>
    <row r="982" s="1" customFormat="1" ht="15.75" customHeight="1"/>
    <row r="983" s="1" customFormat="1" ht="15.75" customHeight="1"/>
    <row r="984" s="1" customFormat="1" ht="15.75" customHeight="1"/>
    <row r="985" s="1" customFormat="1" ht="15.75" customHeight="1"/>
    <row r="986" s="1" customFormat="1" ht="15.75" customHeight="1"/>
    <row r="987" s="1" customFormat="1" ht="15.75" customHeight="1"/>
    <row r="988" s="1" customFormat="1" ht="15.75" customHeight="1"/>
    <row r="989" s="1" customFormat="1" ht="15.75" customHeight="1"/>
    <row r="990" s="1" customFormat="1" ht="15.75" customHeight="1"/>
    <row r="991" s="1" customFormat="1" ht="15.75" customHeight="1"/>
    <row r="992" s="1" customFormat="1" ht="15.75" customHeight="1"/>
    <row r="993" s="1" customFormat="1" ht="15.75" customHeight="1"/>
    <row r="994" s="1" customFormat="1" ht="15.75" customHeight="1"/>
    <row r="995" s="1" customFormat="1" ht="15.75" customHeight="1"/>
    <row r="996" s="1" customFormat="1" ht="15.75" customHeight="1"/>
    <row r="997" s="1" customFormat="1" ht="15.75" customHeight="1"/>
    <row r="998" s="1" customFormat="1" ht="15.75" customHeight="1"/>
    <row r="999" s="1" customFormat="1" ht="15.75" customHeight="1"/>
    <row r="1000" s="1" customFormat="1" ht="15.75" customHeight="1"/>
  </sheetData>
  <conditionalFormatting sqref="A2:A6">
    <cfRule type="containsText" dxfId="7" priority="1" operator="containsText" text="Bug Fix">
      <formula>NOT(ISERROR(SEARCH(("Bug Fix"),(A2))))</formula>
    </cfRule>
    <cfRule type="containsText" dxfId="6" priority="2" operator="containsText" text="Code">
      <formula>NOT(ISERROR(SEARCH(("Code"),(A2))))</formula>
    </cfRule>
    <cfRule type="containsText" dxfId="5" priority="3" operator="containsText" text="Audio">
      <formula>NOT(ISERROR(SEARCH(("Audio"),(A2))))</formula>
    </cfRule>
    <cfRule type="containsText" dxfId="4" priority="4" operator="containsText" text="Level">
      <formula>NOT(ISERROR(SEARCH(("Level"),(A2))))</formula>
    </cfRule>
    <cfRule type="containsText" dxfId="3" priority="5" operator="containsText" text="Art">
      <formula>NOT(ISERROR(SEARCH(("Art"),(A2))))</formula>
    </cfRule>
  </conditionalFormatting>
  <conditionalFormatting sqref="B2">
    <cfRule type="colorScale" priority="6">
      <colorScale>
        <cfvo type="min"/>
        <cfvo type="max"/>
        <color rgb="FFFF7128"/>
        <color rgb="FFFFEF9C"/>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94A7D-4263-4FA8-B540-AC94DC3C2458}">
  <dimension ref="A1:D1000"/>
  <sheetViews>
    <sheetView workbookViewId="0">
      <selection activeCell="O21" sqref="O21"/>
    </sheetView>
  </sheetViews>
  <sheetFormatPr defaultColWidth="13.42578125" defaultRowHeight="15" customHeight="1"/>
  <cols>
    <col min="1" max="1" width="15.7109375" style="1" bestFit="1" customWidth="1"/>
    <col min="2" max="2" width="52.42578125" style="1" bestFit="1" customWidth="1"/>
    <col min="3" max="26" width="8.140625" style="1" customWidth="1"/>
    <col min="27" max="16384" width="13.42578125" style="1"/>
  </cols>
  <sheetData>
    <row r="1" spans="1:4">
      <c r="A1" s="1" t="s">
        <v>222</v>
      </c>
      <c r="B1" s="1" t="s">
        <v>223</v>
      </c>
      <c r="D1" s="1" t="s">
        <v>224</v>
      </c>
    </row>
    <row r="2" spans="1:4">
      <c r="A2" s="1" t="s">
        <v>26</v>
      </c>
      <c r="B2" s="1" t="s">
        <v>225</v>
      </c>
      <c r="D2" s="1" t="s">
        <v>31</v>
      </c>
    </row>
    <row r="3" spans="1:4">
      <c r="A3" s="1" t="s">
        <v>127</v>
      </c>
      <c r="B3" s="1" t="s">
        <v>226</v>
      </c>
      <c r="D3" s="1" t="s">
        <v>227</v>
      </c>
    </row>
    <row r="4" spans="1:4">
      <c r="A4" s="1" t="s">
        <v>228</v>
      </c>
      <c r="B4" s="1" t="s">
        <v>229</v>
      </c>
    </row>
    <row r="5" spans="1:4">
      <c r="A5" s="1" t="s">
        <v>151</v>
      </c>
      <c r="B5" s="1" t="s">
        <v>230</v>
      </c>
    </row>
    <row r="21" s="1" customFormat="1" ht="15.75" customHeight="1"/>
    <row r="22" s="1" customFormat="1" ht="15.75" customHeight="1"/>
    <row r="23" s="1" customFormat="1" ht="15.75" customHeight="1"/>
    <row r="24" s="1" customFormat="1" ht="15.75" customHeight="1"/>
    <row r="25" s="1" customFormat="1" ht="15.75" customHeight="1"/>
    <row r="26" s="1" customFormat="1" ht="15.75" customHeight="1"/>
    <row r="27" s="1" customFormat="1" ht="15.75" customHeight="1"/>
    <row r="28" s="1" customFormat="1" ht="15.75" customHeight="1"/>
    <row r="29" s="1" customFormat="1" ht="15.75" customHeight="1"/>
    <row r="30" s="1" customFormat="1" ht="15.75" customHeight="1"/>
    <row r="31" s="1" customFormat="1" ht="15.75" customHeight="1"/>
    <row r="32" s="1" customFormat="1" ht="15.75" customHeight="1"/>
    <row r="33" s="1" customFormat="1" ht="15.75" customHeight="1"/>
    <row r="34" s="1" customFormat="1" ht="15.75" customHeight="1"/>
    <row r="35" s="1" customFormat="1" ht="15.75" customHeight="1"/>
    <row r="36" s="1" customFormat="1" ht="15.75" customHeight="1"/>
    <row r="37" s="1" customFormat="1" ht="15.75" customHeight="1"/>
    <row r="38" s="1" customFormat="1" ht="15.75" customHeight="1"/>
    <row r="39" s="1" customFormat="1" ht="15.75" customHeight="1"/>
    <row r="40" s="1" customFormat="1" ht="15.75" customHeight="1"/>
    <row r="41" s="1" customFormat="1" ht="15.75" customHeight="1"/>
    <row r="42" s="1" customFormat="1" ht="15.75" customHeight="1"/>
    <row r="43" s="1" customFormat="1" ht="15.75" customHeight="1"/>
    <row r="44" s="1" customFormat="1" ht="15.75" customHeight="1"/>
    <row r="45" s="1" customFormat="1" ht="15.75" customHeight="1"/>
    <row r="46" s="1" customFormat="1" ht="15.75" customHeight="1"/>
    <row r="47" s="1" customFormat="1" ht="15.75" customHeight="1"/>
    <row r="48" s="1" customFormat="1" ht="15.75" customHeight="1"/>
    <row r="49" s="1" customFormat="1" ht="15.75" customHeight="1"/>
    <row r="50" s="1" customFormat="1" ht="15.75" customHeight="1"/>
    <row r="51" s="1" customFormat="1" ht="15.75" customHeight="1"/>
    <row r="52" s="1" customFormat="1" ht="15.75" customHeight="1"/>
    <row r="53" s="1" customFormat="1" ht="15.75" customHeight="1"/>
    <row r="54" s="1" customFormat="1" ht="15.75" customHeight="1"/>
    <row r="55" s="1" customFormat="1" ht="15.75" customHeight="1"/>
    <row r="56" s="1" customFormat="1" ht="15.75" customHeight="1"/>
    <row r="57" s="1" customFormat="1" ht="15.75" customHeight="1"/>
    <row r="58" s="1" customFormat="1" ht="15.75" customHeight="1"/>
    <row r="59" s="1" customFormat="1" ht="15.75" customHeight="1"/>
    <row r="60" s="1" customFormat="1" ht="15.75" customHeight="1"/>
    <row r="61" s="1" customFormat="1" ht="15.75" customHeight="1"/>
    <row r="62" s="1" customFormat="1" ht="15.75" customHeight="1"/>
    <row r="63" s="1" customFormat="1" ht="15.75" customHeight="1"/>
    <row r="64" s="1" customFormat="1" ht="15.75" customHeight="1"/>
    <row r="65" s="1" customFormat="1" ht="15.75" customHeight="1"/>
    <row r="66" s="1" customFormat="1" ht="15.75" customHeight="1"/>
    <row r="67" s="1" customFormat="1" ht="15.75" customHeight="1"/>
    <row r="68" s="1" customFormat="1" ht="15.75" customHeight="1"/>
    <row r="69" s="1" customFormat="1" ht="15.75" customHeight="1"/>
    <row r="70" s="1" customFormat="1" ht="15.75" customHeight="1"/>
    <row r="71" s="1" customFormat="1" ht="15.75" customHeight="1"/>
    <row r="72" s="1" customFormat="1" ht="15.75" customHeight="1"/>
    <row r="73" s="1" customFormat="1" ht="15.75" customHeight="1"/>
    <row r="74" s="1" customFormat="1" ht="15.75" customHeight="1"/>
    <row r="75" s="1" customFormat="1" ht="15.75" customHeight="1"/>
    <row r="76" s="1" customFormat="1" ht="15.75" customHeight="1"/>
    <row r="77" s="1" customFormat="1" ht="15.75" customHeight="1"/>
    <row r="78" s="1" customFormat="1" ht="15.75" customHeight="1"/>
    <row r="79" s="1" customFormat="1" ht="15.75" customHeight="1"/>
    <row r="80" s="1" customFormat="1" ht="15.75" customHeight="1"/>
    <row r="81" s="1" customFormat="1" ht="15.75" customHeight="1"/>
    <row r="82" s="1" customFormat="1" ht="15.75" customHeight="1"/>
    <row r="83" s="1" customFormat="1" ht="15.75" customHeight="1"/>
    <row r="84" s="1" customFormat="1" ht="15.75" customHeight="1"/>
    <row r="85" s="1" customFormat="1" ht="15.75" customHeight="1"/>
    <row r="86" s="1" customFormat="1" ht="15.75" customHeight="1"/>
    <row r="87" s="1" customFormat="1" ht="15.75" customHeight="1"/>
    <row r="88" s="1" customFormat="1" ht="15.75" customHeight="1"/>
    <row r="89" s="1" customFormat="1" ht="15.75" customHeight="1"/>
    <row r="90" s="1" customFormat="1" ht="15.75" customHeight="1"/>
    <row r="91" s="1" customFormat="1" ht="15.75" customHeight="1"/>
    <row r="92" s="1" customFormat="1" ht="15.75" customHeight="1"/>
    <row r="93" s="1" customFormat="1" ht="15.75" customHeight="1"/>
    <row r="94" s="1" customFormat="1" ht="15.75" customHeight="1"/>
    <row r="95" s="1" customFormat="1" ht="15.75" customHeight="1"/>
    <row r="96" s="1" customFormat="1" ht="15.75" customHeight="1"/>
    <row r="97" s="1" customFormat="1" ht="15.75" customHeight="1"/>
    <row r="98" s="1" customFormat="1" ht="15.75" customHeight="1"/>
    <row r="99" s="1" customFormat="1" ht="15.75" customHeight="1"/>
    <row r="100" s="1" customFormat="1" ht="15.75" customHeight="1"/>
    <row r="101" s="1" customFormat="1" ht="15.75" customHeight="1"/>
    <row r="102" s="1" customFormat="1" ht="15.75" customHeight="1"/>
    <row r="103" s="1" customFormat="1" ht="15.75" customHeight="1"/>
    <row r="104" s="1" customFormat="1" ht="15.75" customHeight="1"/>
    <row r="105" s="1" customFormat="1" ht="15.75" customHeight="1"/>
    <row r="106" s="1" customFormat="1" ht="15.75" customHeight="1"/>
    <row r="107" s="1" customFormat="1" ht="15.75" customHeight="1"/>
    <row r="108" s="1" customFormat="1" ht="15.75" customHeight="1"/>
    <row r="109" s="1" customFormat="1" ht="15.75" customHeight="1"/>
    <row r="110" s="1" customFormat="1" ht="15.75" customHeight="1"/>
    <row r="111" s="1" customFormat="1" ht="15.75" customHeight="1"/>
    <row r="112" s="1" customFormat="1" ht="15.75" customHeight="1"/>
    <row r="113" s="1" customFormat="1" ht="15.75" customHeight="1"/>
    <row r="114" s="1" customFormat="1" ht="15.75" customHeight="1"/>
    <row r="115" s="1" customFormat="1" ht="15.75" customHeight="1"/>
    <row r="116" s="1" customFormat="1" ht="15.75" customHeight="1"/>
    <row r="117" s="1" customFormat="1" ht="15.75" customHeight="1"/>
    <row r="118" s="1" customFormat="1" ht="15.75" customHeight="1"/>
    <row r="119" s="1" customFormat="1" ht="15.75" customHeight="1"/>
    <row r="120" s="1" customFormat="1" ht="15.75" customHeight="1"/>
    <row r="121" s="1" customFormat="1" ht="15.75" customHeight="1"/>
    <row r="122" s="1" customFormat="1" ht="15.75" customHeight="1"/>
    <row r="123" s="1" customFormat="1" ht="15.75" customHeight="1"/>
    <row r="124" s="1" customFormat="1" ht="15.75" customHeight="1"/>
    <row r="125" s="1" customFormat="1" ht="15.75" customHeight="1"/>
    <row r="126" s="1" customFormat="1" ht="15.75" customHeight="1"/>
    <row r="127" s="1" customFormat="1" ht="15.75" customHeight="1"/>
    <row r="128" s="1" customFormat="1" ht="15.75" customHeight="1"/>
    <row r="129" s="1" customFormat="1" ht="15.75" customHeight="1"/>
    <row r="130" s="1" customFormat="1" ht="15.75" customHeight="1"/>
    <row r="131" s="1" customFormat="1" ht="15.75" customHeight="1"/>
    <row r="132" s="1" customFormat="1" ht="15.75" customHeight="1"/>
    <row r="133" s="1" customFormat="1" ht="15.75" customHeight="1"/>
    <row r="134" s="1" customFormat="1" ht="15.75" customHeight="1"/>
    <row r="135" s="1" customFormat="1" ht="15.75" customHeight="1"/>
    <row r="136" s="1" customFormat="1" ht="15.75" customHeight="1"/>
    <row r="137" s="1" customFormat="1" ht="15.75" customHeight="1"/>
    <row r="138" s="1" customFormat="1" ht="15.75" customHeight="1"/>
    <row r="139" s="1" customFormat="1" ht="15.75" customHeight="1"/>
    <row r="140" s="1" customFormat="1" ht="15.75" customHeight="1"/>
    <row r="141" s="1" customFormat="1" ht="15.75" customHeight="1"/>
    <row r="142" s="1" customFormat="1" ht="15.75" customHeight="1"/>
    <row r="143" s="1" customFormat="1" ht="15.75" customHeight="1"/>
    <row r="144" s="1" customFormat="1" ht="15.75" customHeight="1"/>
    <row r="145" s="1" customFormat="1" ht="15.75" customHeight="1"/>
    <row r="146" s="1" customFormat="1" ht="15.75" customHeight="1"/>
    <row r="147" s="1" customFormat="1" ht="15.75" customHeight="1"/>
    <row r="148" s="1" customFormat="1" ht="15.75" customHeight="1"/>
    <row r="149" s="1" customFormat="1" ht="15.75" customHeight="1"/>
    <row r="150" s="1" customFormat="1" ht="15.75" customHeight="1"/>
    <row r="151" s="1" customFormat="1" ht="15.75" customHeight="1"/>
    <row r="152" s="1" customFormat="1" ht="15.75" customHeight="1"/>
    <row r="153" s="1" customFormat="1" ht="15.75" customHeight="1"/>
    <row r="154" s="1" customFormat="1" ht="15.75" customHeight="1"/>
    <row r="155" s="1" customFormat="1" ht="15.75" customHeight="1"/>
    <row r="156" s="1" customFormat="1" ht="15.75" customHeight="1"/>
    <row r="157" s="1" customFormat="1" ht="15.75" customHeight="1"/>
    <row r="158" s="1" customFormat="1" ht="15.75" customHeight="1"/>
    <row r="159" s="1" customFormat="1" ht="15.75" customHeight="1"/>
    <row r="160" s="1" customFormat="1" ht="15.75" customHeight="1"/>
    <row r="161" s="1" customFormat="1" ht="15.75" customHeight="1"/>
    <row r="162" s="1" customFormat="1" ht="15.75" customHeight="1"/>
    <row r="163" s="1" customFormat="1" ht="15.75" customHeight="1"/>
    <row r="164" s="1" customFormat="1" ht="15.75" customHeight="1"/>
    <row r="165" s="1" customFormat="1" ht="15.75" customHeight="1"/>
    <row r="166" s="1" customFormat="1" ht="15.75" customHeight="1"/>
    <row r="167" s="1" customFormat="1" ht="15.75" customHeight="1"/>
    <row r="168" s="1" customFormat="1" ht="15.75" customHeight="1"/>
    <row r="169" s="1" customFormat="1" ht="15.75" customHeight="1"/>
    <row r="170" s="1" customFormat="1" ht="15.75" customHeight="1"/>
    <row r="171" s="1" customFormat="1" ht="15.75" customHeight="1"/>
    <row r="172" s="1" customFormat="1" ht="15.75" customHeight="1"/>
    <row r="173" s="1" customFormat="1" ht="15.75" customHeight="1"/>
    <row r="174" s="1" customFormat="1" ht="15.75" customHeight="1"/>
    <row r="175" s="1" customFormat="1" ht="15.75" customHeight="1"/>
    <row r="176" s="1" customFormat="1" ht="15.75" customHeight="1"/>
    <row r="177" s="1" customFormat="1" ht="15.75" customHeight="1"/>
    <row r="178" s="1" customFormat="1" ht="15.75" customHeight="1"/>
    <row r="179" s="1" customFormat="1" ht="15.75" customHeight="1"/>
    <row r="180" s="1" customFormat="1" ht="15.75" customHeight="1"/>
    <row r="181" s="1" customFormat="1" ht="15.75" customHeight="1"/>
    <row r="182" s="1" customFormat="1" ht="15.75" customHeight="1"/>
    <row r="183" s="1" customFormat="1" ht="15.75" customHeight="1"/>
    <row r="184" s="1" customFormat="1" ht="15.75" customHeight="1"/>
    <row r="185" s="1" customFormat="1" ht="15.75" customHeight="1"/>
    <row r="186" s="1" customFormat="1" ht="15.75" customHeight="1"/>
    <row r="187" s="1" customFormat="1" ht="15.75" customHeight="1"/>
    <row r="188" s="1" customFormat="1" ht="15.75" customHeight="1"/>
    <row r="189" s="1" customFormat="1" ht="15.75" customHeight="1"/>
    <row r="190" s="1" customFormat="1" ht="15.75" customHeight="1"/>
    <row r="191" s="1" customFormat="1" ht="15.75" customHeight="1"/>
    <row r="192" s="1" customFormat="1" ht="15.75" customHeight="1"/>
    <row r="193" s="1" customFormat="1" ht="15.75" customHeight="1"/>
    <row r="194" s="1" customFormat="1" ht="15.75" customHeight="1"/>
    <row r="195" s="1" customFormat="1" ht="15.75" customHeight="1"/>
    <row r="196" s="1" customFormat="1" ht="15.75" customHeight="1"/>
    <row r="197" s="1" customFormat="1" ht="15.75" customHeight="1"/>
    <row r="198" s="1" customFormat="1" ht="15.75" customHeight="1"/>
    <row r="199" s="1" customFormat="1" ht="15.75" customHeight="1"/>
    <row r="200" s="1" customFormat="1" ht="15.75" customHeight="1"/>
    <row r="201" s="1" customFormat="1" ht="15.75" customHeight="1"/>
    <row r="202" s="1" customFormat="1" ht="15.75" customHeight="1"/>
    <row r="203" s="1" customFormat="1" ht="15.75" customHeight="1"/>
    <row r="204" s="1" customFormat="1" ht="15.75" customHeight="1"/>
    <row r="205" s="1" customFormat="1" ht="15.75" customHeight="1"/>
    <row r="206" s="1" customFormat="1" ht="15.75" customHeight="1"/>
    <row r="207" s="1" customFormat="1" ht="15.75" customHeight="1"/>
    <row r="208" s="1" customFormat="1" ht="15.75" customHeight="1"/>
    <row r="209" s="1" customFormat="1" ht="15.75" customHeight="1"/>
    <row r="210" s="1" customFormat="1" ht="15.75" customHeight="1"/>
    <row r="211" s="1" customFormat="1" ht="15.75" customHeight="1"/>
    <row r="212" s="1" customFormat="1" ht="15.75" customHeight="1"/>
    <row r="213" s="1" customFormat="1" ht="15.75" customHeight="1"/>
    <row r="214" s="1" customFormat="1" ht="15.75" customHeight="1"/>
    <row r="215" s="1" customFormat="1" ht="15.75" customHeight="1"/>
    <row r="216" s="1" customFormat="1" ht="15.75" customHeight="1"/>
    <row r="217" s="1" customFormat="1" ht="15.75" customHeight="1"/>
    <row r="218" s="1" customFormat="1" ht="15.75" customHeight="1"/>
    <row r="219" s="1" customFormat="1" ht="15.75" customHeight="1"/>
    <row r="220" s="1" customFormat="1" ht="15.75" customHeight="1"/>
    <row r="221" s="1" customFormat="1" ht="15.75" customHeight="1"/>
    <row r="222" s="1" customFormat="1" ht="15.75" customHeight="1"/>
    <row r="223" s="1" customFormat="1" ht="15.75" customHeight="1"/>
    <row r="224" s="1" customFormat="1" ht="15.75" customHeight="1"/>
    <row r="225" s="1" customFormat="1" ht="15.75" customHeight="1"/>
    <row r="226" s="1" customFormat="1" ht="15.75" customHeight="1"/>
    <row r="227" s="1" customFormat="1" ht="15.75" customHeight="1"/>
    <row r="228" s="1" customFormat="1" ht="15.75" customHeight="1"/>
    <row r="229" s="1" customFormat="1" ht="15.75" customHeight="1"/>
    <row r="230" s="1" customFormat="1" ht="15.75" customHeight="1"/>
    <row r="231" s="1" customFormat="1" ht="15.75" customHeight="1"/>
    <row r="232" s="1" customFormat="1" ht="15.75" customHeight="1"/>
    <row r="233" s="1" customFormat="1" ht="15.75" customHeight="1"/>
    <row r="234" s="1" customFormat="1" ht="15.75" customHeight="1"/>
    <row r="235" s="1" customFormat="1" ht="15.75" customHeight="1"/>
    <row r="236" s="1" customFormat="1" ht="15.75" customHeight="1"/>
    <row r="237" s="1" customFormat="1" ht="15.75" customHeight="1"/>
    <row r="238" s="1" customFormat="1" ht="15.75" customHeight="1"/>
    <row r="239" s="1" customFormat="1" ht="15.75" customHeight="1"/>
    <row r="240" s="1" customFormat="1" ht="15.75" customHeight="1"/>
    <row r="241" s="1" customFormat="1" ht="15.75" customHeight="1"/>
    <row r="242" s="1" customFormat="1" ht="15.75" customHeight="1"/>
    <row r="243" s="1" customFormat="1" ht="15.75" customHeight="1"/>
    <row r="244" s="1" customFormat="1" ht="15.75" customHeight="1"/>
    <row r="245" s="1" customFormat="1" ht="15.75" customHeight="1"/>
    <row r="246" s="1" customFormat="1" ht="15.75" customHeight="1"/>
    <row r="247" s="1" customFormat="1" ht="15.75" customHeight="1"/>
    <row r="248" s="1" customFormat="1" ht="15.75" customHeight="1"/>
    <row r="249" s="1" customFormat="1" ht="15.75" customHeight="1"/>
    <row r="250" s="1" customFormat="1" ht="15.75" customHeight="1"/>
    <row r="251" s="1" customFormat="1" ht="15.75" customHeight="1"/>
    <row r="252" s="1" customFormat="1" ht="15.75" customHeight="1"/>
    <row r="253" s="1" customFormat="1" ht="15.75" customHeight="1"/>
    <row r="254" s="1" customFormat="1" ht="15.75" customHeight="1"/>
    <row r="255" s="1" customFormat="1" ht="15.75" customHeight="1"/>
    <row r="256" s="1" customFormat="1" ht="15.75" customHeight="1"/>
    <row r="257" s="1" customFormat="1" ht="15.75" customHeight="1"/>
    <row r="258" s="1" customFormat="1" ht="15.75" customHeight="1"/>
    <row r="259" s="1" customFormat="1" ht="15.75" customHeight="1"/>
    <row r="260" s="1" customFormat="1" ht="15.75" customHeight="1"/>
    <row r="261" s="1" customFormat="1" ht="15.75" customHeight="1"/>
    <row r="262" s="1" customFormat="1" ht="15.75" customHeight="1"/>
    <row r="263" s="1" customFormat="1" ht="15.75" customHeight="1"/>
    <row r="264" s="1" customFormat="1" ht="15.75" customHeight="1"/>
    <row r="265" s="1" customFormat="1" ht="15.75" customHeight="1"/>
    <row r="266" s="1" customFormat="1" ht="15.75" customHeight="1"/>
    <row r="267" s="1" customFormat="1" ht="15.75" customHeight="1"/>
    <row r="268" s="1" customFormat="1" ht="15.75" customHeight="1"/>
    <row r="269" s="1" customFormat="1" ht="15.75" customHeight="1"/>
    <row r="270" s="1" customFormat="1" ht="15.75" customHeight="1"/>
    <row r="271" s="1" customFormat="1" ht="15.75" customHeight="1"/>
    <row r="272" s="1" customFormat="1" ht="15.75" customHeight="1"/>
    <row r="273" s="1" customFormat="1" ht="15.75" customHeight="1"/>
    <row r="274" s="1" customFormat="1" ht="15.75" customHeight="1"/>
    <row r="275" s="1" customFormat="1" ht="15.75" customHeight="1"/>
    <row r="276" s="1" customFormat="1" ht="15.75" customHeight="1"/>
    <row r="277" s="1" customFormat="1" ht="15.75" customHeight="1"/>
    <row r="278" s="1" customFormat="1" ht="15.75" customHeight="1"/>
    <row r="279" s="1" customFormat="1" ht="15.75" customHeight="1"/>
    <row r="280" s="1" customFormat="1" ht="15.75" customHeight="1"/>
    <row r="281" s="1" customFormat="1" ht="15.75" customHeight="1"/>
    <row r="282" s="1" customFormat="1" ht="15.75" customHeight="1"/>
    <row r="283" s="1" customFormat="1" ht="15.75" customHeight="1"/>
    <row r="284" s="1" customFormat="1" ht="15.75" customHeight="1"/>
    <row r="285" s="1" customFormat="1" ht="15.75" customHeight="1"/>
    <row r="286" s="1" customFormat="1" ht="15.75" customHeight="1"/>
    <row r="287" s="1" customFormat="1" ht="15.75" customHeight="1"/>
    <row r="288" s="1" customFormat="1" ht="15.75" customHeight="1"/>
    <row r="289" s="1" customFormat="1" ht="15.75" customHeight="1"/>
    <row r="290" s="1" customFormat="1" ht="15.75" customHeight="1"/>
    <row r="291" s="1" customFormat="1" ht="15.75" customHeight="1"/>
    <row r="292" s="1" customFormat="1" ht="15.75" customHeight="1"/>
    <row r="293" s="1" customFormat="1" ht="15.75" customHeight="1"/>
    <row r="294" s="1" customFormat="1" ht="15.75" customHeight="1"/>
    <row r="295" s="1" customFormat="1" ht="15.75" customHeight="1"/>
    <row r="296" s="1" customFormat="1" ht="15.75" customHeight="1"/>
    <row r="297" s="1" customFormat="1" ht="15.75" customHeight="1"/>
    <row r="298" s="1" customFormat="1" ht="15.75" customHeight="1"/>
    <row r="299" s="1" customFormat="1" ht="15.75" customHeight="1"/>
    <row r="300" s="1" customFormat="1" ht="15.75" customHeight="1"/>
    <row r="301" s="1" customFormat="1" ht="15.75" customHeight="1"/>
    <row r="302" s="1" customFormat="1" ht="15.75" customHeight="1"/>
    <row r="303" s="1" customFormat="1" ht="15.75" customHeight="1"/>
    <row r="304" s="1" customFormat="1" ht="15.75" customHeight="1"/>
    <row r="305" s="1" customFormat="1" ht="15.75" customHeight="1"/>
    <row r="306" s="1" customFormat="1" ht="15.75" customHeight="1"/>
    <row r="307" s="1" customFormat="1" ht="15.75" customHeight="1"/>
    <row r="308" s="1" customFormat="1" ht="15.75" customHeight="1"/>
    <row r="309" s="1" customFormat="1" ht="15.75" customHeight="1"/>
    <row r="310" s="1" customFormat="1" ht="15.75" customHeight="1"/>
    <row r="311" s="1" customFormat="1" ht="15.75" customHeight="1"/>
    <row r="312" s="1" customFormat="1" ht="15.75" customHeight="1"/>
    <row r="313" s="1" customFormat="1" ht="15.75" customHeight="1"/>
    <row r="314" s="1" customFormat="1" ht="15.75" customHeight="1"/>
    <row r="315" s="1" customFormat="1" ht="15.75" customHeight="1"/>
    <row r="316" s="1" customFormat="1" ht="15.75" customHeight="1"/>
    <row r="317" s="1" customFormat="1" ht="15.75" customHeight="1"/>
    <row r="318" s="1" customFormat="1" ht="15.75" customHeight="1"/>
    <row r="319" s="1" customFormat="1" ht="15.75" customHeight="1"/>
    <row r="320" s="1" customFormat="1" ht="15.75" customHeight="1"/>
    <row r="321" s="1" customFormat="1" ht="15.75" customHeight="1"/>
    <row r="322" s="1" customFormat="1" ht="15.75" customHeight="1"/>
    <row r="323" s="1" customFormat="1" ht="15.75" customHeight="1"/>
    <row r="324" s="1" customFormat="1" ht="15.75" customHeight="1"/>
    <row r="325" s="1" customFormat="1" ht="15.75" customHeight="1"/>
    <row r="326" s="1" customFormat="1" ht="15.75" customHeight="1"/>
    <row r="327" s="1" customFormat="1" ht="15.75" customHeight="1"/>
    <row r="328" s="1" customFormat="1" ht="15.75" customHeight="1"/>
    <row r="329" s="1" customFormat="1" ht="15.75" customHeight="1"/>
    <row r="330" s="1" customFormat="1" ht="15.75" customHeight="1"/>
    <row r="331" s="1" customFormat="1" ht="15.75" customHeight="1"/>
    <row r="332" s="1" customFormat="1" ht="15.75" customHeight="1"/>
    <row r="333" s="1" customFormat="1" ht="15.75" customHeight="1"/>
    <row r="334" s="1" customFormat="1" ht="15.75" customHeight="1"/>
    <row r="335" s="1" customFormat="1" ht="15.75" customHeight="1"/>
    <row r="336" s="1" customFormat="1" ht="15.75" customHeight="1"/>
    <row r="337" s="1" customFormat="1" ht="15.75" customHeight="1"/>
    <row r="338" s="1" customFormat="1" ht="15.75" customHeight="1"/>
    <row r="339" s="1" customFormat="1" ht="15.75" customHeight="1"/>
    <row r="340" s="1" customFormat="1" ht="15.75" customHeight="1"/>
    <row r="341" s="1" customFormat="1" ht="15.75" customHeight="1"/>
    <row r="342" s="1" customFormat="1" ht="15.75" customHeight="1"/>
    <row r="343" s="1" customFormat="1" ht="15.75" customHeight="1"/>
    <row r="344" s="1" customFormat="1" ht="15.75" customHeight="1"/>
    <row r="345" s="1" customFormat="1" ht="15.75" customHeight="1"/>
    <row r="346" s="1" customFormat="1" ht="15.75" customHeight="1"/>
    <row r="347" s="1" customFormat="1" ht="15.75" customHeight="1"/>
    <row r="348" s="1" customFormat="1" ht="15.75" customHeight="1"/>
    <row r="349" s="1" customFormat="1" ht="15.75" customHeight="1"/>
    <row r="350" s="1" customFormat="1" ht="15.75" customHeight="1"/>
    <row r="351" s="1" customFormat="1" ht="15.75" customHeight="1"/>
    <row r="352" s="1" customFormat="1" ht="15.75" customHeight="1"/>
    <row r="353" s="1" customFormat="1" ht="15.75" customHeight="1"/>
    <row r="354" s="1" customFormat="1" ht="15.75" customHeight="1"/>
    <row r="355" s="1" customFormat="1" ht="15.75" customHeight="1"/>
    <row r="356" s="1" customFormat="1" ht="15.75" customHeight="1"/>
    <row r="357" s="1" customFormat="1" ht="15.75" customHeight="1"/>
    <row r="358" s="1" customFormat="1" ht="15.75" customHeight="1"/>
    <row r="359" s="1" customFormat="1" ht="15.75" customHeight="1"/>
    <row r="360" s="1" customFormat="1" ht="15.75" customHeight="1"/>
    <row r="361" s="1" customFormat="1" ht="15.75" customHeight="1"/>
    <row r="362" s="1" customFormat="1" ht="15.75" customHeight="1"/>
    <row r="363" s="1" customFormat="1" ht="15.75" customHeight="1"/>
    <row r="364" s="1" customFormat="1" ht="15.75" customHeight="1"/>
    <row r="365" s="1" customFormat="1" ht="15.75" customHeight="1"/>
    <row r="366" s="1" customFormat="1" ht="15.75" customHeight="1"/>
    <row r="367" s="1" customFormat="1" ht="15.75" customHeight="1"/>
    <row r="368" s="1" customFormat="1" ht="15.75" customHeight="1"/>
    <row r="369" s="1" customFormat="1" ht="15.75" customHeight="1"/>
    <row r="370" s="1" customFormat="1" ht="15.75" customHeight="1"/>
    <row r="371" s="1" customFormat="1" ht="15.75" customHeight="1"/>
    <row r="372" s="1" customFormat="1" ht="15.75" customHeight="1"/>
    <row r="373" s="1" customFormat="1" ht="15.75" customHeight="1"/>
    <row r="374" s="1" customFormat="1" ht="15.75" customHeight="1"/>
    <row r="375" s="1" customFormat="1" ht="15.75" customHeight="1"/>
    <row r="376" s="1" customFormat="1" ht="15.75" customHeight="1"/>
    <row r="377" s="1" customFormat="1" ht="15.75" customHeight="1"/>
    <row r="378" s="1" customFormat="1" ht="15.75" customHeight="1"/>
    <row r="379" s="1" customFormat="1" ht="15.75" customHeight="1"/>
    <row r="380" s="1" customFormat="1" ht="15.75" customHeight="1"/>
    <row r="381" s="1" customFormat="1" ht="15.75" customHeight="1"/>
    <row r="382" s="1" customFormat="1" ht="15.75" customHeight="1"/>
    <row r="383" s="1" customFormat="1" ht="15.75" customHeight="1"/>
    <row r="384" s="1" customFormat="1" ht="15.75" customHeight="1"/>
    <row r="385" s="1" customFormat="1" ht="15.75" customHeight="1"/>
    <row r="386" s="1" customFormat="1" ht="15.75" customHeight="1"/>
    <row r="387" s="1" customFormat="1" ht="15.75" customHeight="1"/>
    <row r="388" s="1" customFormat="1" ht="15.75" customHeight="1"/>
    <row r="389" s="1" customFormat="1" ht="15.75" customHeight="1"/>
    <row r="390" s="1" customFormat="1" ht="15.75" customHeight="1"/>
    <row r="391" s="1" customFormat="1" ht="15.75" customHeight="1"/>
    <row r="392" s="1" customFormat="1" ht="15.75" customHeight="1"/>
    <row r="393" s="1" customFormat="1" ht="15.75" customHeight="1"/>
    <row r="394" s="1" customFormat="1" ht="15.75" customHeight="1"/>
    <row r="395" s="1" customFormat="1" ht="15.75" customHeight="1"/>
    <row r="396" s="1" customFormat="1" ht="15.75" customHeight="1"/>
    <row r="397" s="1" customFormat="1" ht="15.75" customHeight="1"/>
    <row r="398" s="1" customFormat="1" ht="15.75" customHeight="1"/>
    <row r="399" s="1" customFormat="1" ht="15.75" customHeight="1"/>
    <row r="400" s="1" customFormat="1" ht="15.75" customHeight="1"/>
    <row r="401" s="1" customFormat="1" ht="15.75" customHeight="1"/>
    <row r="402" s="1" customFormat="1" ht="15.75" customHeight="1"/>
    <row r="403" s="1" customFormat="1" ht="15.75" customHeight="1"/>
    <row r="404" s="1" customFormat="1" ht="15.75" customHeight="1"/>
    <row r="405" s="1" customFormat="1" ht="15.75" customHeight="1"/>
    <row r="406" s="1" customFormat="1" ht="15.75" customHeight="1"/>
    <row r="407" s="1" customFormat="1" ht="15.75" customHeight="1"/>
    <row r="408" s="1" customFormat="1" ht="15.75" customHeight="1"/>
    <row r="409" s="1" customFormat="1" ht="15.75" customHeight="1"/>
    <row r="410" s="1" customFormat="1" ht="15.75" customHeight="1"/>
    <row r="411" s="1" customFormat="1" ht="15.75" customHeight="1"/>
    <row r="412" s="1" customFormat="1" ht="15.75" customHeight="1"/>
    <row r="413" s="1" customFormat="1" ht="15.75" customHeight="1"/>
    <row r="414" s="1" customFormat="1" ht="15.75" customHeight="1"/>
    <row r="415" s="1" customFormat="1" ht="15.75" customHeight="1"/>
    <row r="416" s="1" customFormat="1" ht="15.75" customHeight="1"/>
    <row r="417" s="1" customFormat="1" ht="15.75" customHeight="1"/>
    <row r="418" s="1" customFormat="1" ht="15.75" customHeight="1"/>
    <row r="419" s="1" customFormat="1" ht="15.75" customHeight="1"/>
    <row r="420" s="1" customFormat="1" ht="15.75" customHeight="1"/>
    <row r="421" s="1" customFormat="1" ht="15.75" customHeight="1"/>
    <row r="422" s="1" customFormat="1" ht="15.75" customHeight="1"/>
    <row r="423" s="1" customFormat="1" ht="15.75" customHeight="1"/>
    <row r="424" s="1" customFormat="1" ht="15.75" customHeight="1"/>
    <row r="425" s="1" customFormat="1" ht="15.75" customHeight="1"/>
    <row r="426" s="1" customFormat="1" ht="15.75" customHeight="1"/>
    <row r="427" s="1" customFormat="1" ht="15.75" customHeight="1"/>
    <row r="428" s="1" customFormat="1" ht="15.75" customHeight="1"/>
    <row r="429" s="1" customFormat="1" ht="15.75" customHeight="1"/>
    <row r="430" s="1" customFormat="1" ht="15.75" customHeight="1"/>
    <row r="431" s="1" customFormat="1" ht="15.75" customHeight="1"/>
    <row r="432" s="1" customFormat="1" ht="15.75" customHeight="1"/>
    <row r="433" s="1" customFormat="1" ht="15.75" customHeight="1"/>
    <row r="434" s="1" customFormat="1" ht="15.75" customHeight="1"/>
    <row r="435" s="1" customFormat="1" ht="15.75" customHeight="1"/>
    <row r="436" s="1" customFormat="1" ht="15.75" customHeight="1"/>
    <row r="437" s="1" customFormat="1" ht="15.75" customHeight="1"/>
    <row r="438" s="1" customFormat="1" ht="15.75" customHeight="1"/>
    <row r="439" s="1" customFormat="1" ht="15.75" customHeight="1"/>
    <row r="440" s="1" customFormat="1" ht="15.75" customHeight="1"/>
    <row r="441" s="1" customFormat="1" ht="15.75" customHeight="1"/>
    <row r="442" s="1" customFormat="1" ht="15.75" customHeight="1"/>
    <row r="443" s="1" customFormat="1" ht="15.75" customHeight="1"/>
    <row r="444" s="1" customFormat="1" ht="15.75" customHeight="1"/>
    <row r="445" s="1" customFormat="1" ht="15.75" customHeight="1"/>
    <row r="446" s="1" customFormat="1" ht="15.75" customHeight="1"/>
    <row r="447" s="1" customFormat="1" ht="15.75" customHeight="1"/>
    <row r="448" s="1" customFormat="1" ht="15.75" customHeight="1"/>
    <row r="449" s="1" customFormat="1" ht="15.75" customHeight="1"/>
    <row r="450" s="1" customFormat="1" ht="15.75" customHeight="1"/>
    <row r="451" s="1" customFormat="1" ht="15.75" customHeight="1"/>
    <row r="452" s="1" customFormat="1" ht="15.75" customHeight="1"/>
    <row r="453" s="1" customFormat="1" ht="15.75" customHeight="1"/>
    <row r="454" s="1" customFormat="1" ht="15.75" customHeight="1"/>
    <row r="455" s="1" customFormat="1" ht="15.75" customHeight="1"/>
    <row r="456" s="1" customFormat="1" ht="15.75" customHeight="1"/>
    <row r="457" s="1" customFormat="1" ht="15.75" customHeight="1"/>
    <row r="458" s="1" customFormat="1" ht="15.75" customHeight="1"/>
    <row r="459" s="1" customFormat="1" ht="15.75" customHeight="1"/>
    <row r="460" s="1" customFormat="1" ht="15.75" customHeight="1"/>
    <row r="461" s="1" customFormat="1" ht="15.75" customHeight="1"/>
    <row r="462" s="1" customFormat="1" ht="15.75" customHeight="1"/>
    <row r="463" s="1" customFormat="1" ht="15.75" customHeight="1"/>
    <row r="464" s="1" customFormat="1" ht="15.75" customHeight="1"/>
    <row r="465" s="1" customFormat="1" ht="15.75" customHeight="1"/>
    <row r="466" s="1" customFormat="1" ht="15.75" customHeight="1"/>
    <row r="467" s="1" customFormat="1" ht="15.75" customHeight="1"/>
    <row r="468" s="1" customFormat="1" ht="15.75" customHeight="1"/>
    <row r="469" s="1" customFormat="1" ht="15.75" customHeight="1"/>
    <row r="470" s="1" customFormat="1" ht="15.75" customHeight="1"/>
    <row r="471" s="1" customFormat="1" ht="15.75" customHeight="1"/>
    <row r="472" s="1" customFormat="1" ht="15.75" customHeight="1"/>
    <row r="473" s="1" customFormat="1" ht="15.75" customHeight="1"/>
    <row r="474" s="1" customFormat="1" ht="15.75" customHeight="1"/>
    <row r="475" s="1" customFormat="1" ht="15.75" customHeight="1"/>
    <row r="476" s="1" customFormat="1" ht="15.75" customHeight="1"/>
    <row r="477" s="1" customFormat="1" ht="15.75" customHeight="1"/>
    <row r="478" s="1" customFormat="1" ht="15.75" customHeight="1"/>
    <row r="479" s="1" customFormat="1" ht="15.75" customHeight="1"/>
    <row r="480" s="1" customFormat="1" ht="15.75" customHeight="1"/>
    <row r="481" s="1" customFormat="1" ht="15.75" customHeight="1"/>
    <row r="482" s="1" customFormat="1" ht="15.75" customHeight="1"/>
    <row r="483" s="1" customFormat="1" ht="15.75" customHeight="1"/>
    <row r="484" s="1" customFormat="1" ht="15.75" customHeight="1"/>
    <row r="485" s="1" customFormat="1" ht="15.75" customHeight="1"/>
    <row r="486" s="1" customFormat="1" ht="15.75" customHeight="1"/>
    <row r="487" s="1" customFormat="1" ht="15.75" customHeight="1"/>
    <row r="488" s="1" customFormat="1" ht="15.75" customHeight="1"/>
    <row r="489" s="1" customFormat="1" ht="15.75" customHeight="1"/>
    <row r="490" s="1" customFormat="1" ht="15.75" customHeight="1"/>
    <row r="491" s="1" customFormat="1" ht="15.75" customHeight="1"/>
    <row r="492" s="1" customFormat="1" ht="15.75" customHeight="1"/>
    <row r="493" s="1" customFormat="1" ht="15.75" customHeight="1"/>
    <row r="494" s="1" customFormat="1" ht="15.75" customHeight="1"/>
    <row r="495" s="1" customFormat="1" ht="15.75" customHeight="1"/>
    <row r="496" s="1" customFormat="1" ht="15.75" customHeight="1"/>
    <row r="497" s="1" customFormat="1" ht="15.75" customHeight="1"/>
    <row r="498" s="1" customFormat="1" ht="15.75" customHeight="1"/>
    <row r="499" s="1" customFormat="1" ht="15.75" customHeight="1"/>
    <row r="500" s="1" customFormat="1" ht="15.75" customHeight="1"/>
    <row r="501" s="1" customFormat="1" ht="15.75" customHeight="1"/>
    <row r="502" s="1" customFormat="1" ht="15.75" customHeight="1"/>
    <row r="503" s="1" customFormat="1" ht="15.75" customHeight="1"/>
    <row r="504" s="1" customFormat="1" ht="15.75" customHeight="1"/>
    <row r="505" s="1" customFormat="1" ht="15.75" customHeight="1"/>
    <row r="506" s="1" customFormat="1" ht="15.75" customHeight="1"/>
    <row r="507" s="1" customFormat="1" ht="15.75" customHeight="1"/>
    <row r="508" s="1" customFormat="1" ht="15.75" customHeight="1"/>
    <row r="509" s="1" customFormat="1" ht="15.75" customHeight="1"/>
    <row r="510" s="1" customFormat="1" ht="15.75" customHeight="1"/>
    <row r="511" s="1" customFormat="1" ht="15.75" customHeight="1"/>
    <row r="512" s="1" customFormat="1" ht="15.75" customHeight="1"/>
    <row r="513" s="1" customFormat="1" ht="15.75" customHeight="1"/>
    <row r="514" s="1" customFormat="1" ht="15.75" customHeight="1"/>
    <row r="515" s="1" customFormat="1" ht="15.75" customHeight="1"/>
    <row r="516" s="1" customFormat="1" ht="15.75" customHeight="1"/>
    <row r="517" s="1" customFormat="1" ht="15.75" customHeight="1"/>
    <row r="518" s="1" customFormat="1" ht="15.75" customHeight="1"/>
    <row r="519" s="1" customFormat="1" ht="15.75" customHeight="1"/>
    <row r="520" s="1" customFormat="1" ht="15.75" customHeight="1"/>
    <row r="521" s="1" customFormat="1" ht="15.75" customHeight="1"/>
    <row r="522" s="1" customFormat="1" ht="15.75" customHeight="1"/>
    <row r="523" s="1" customFormat="1" ht="15.75" customHeight="1"/>
    <row r="524" s="1" customFormat="1" ht="15.75" customHeight="1"/>
    <row r="525" s="1" customFormat="1" ht="15.75" customHeight="1"/>
    <row r="526" s="1" customFormat="1" ht="15.75" customHeight="1"/>
    <row r="527" s="1" customFormat="1" ht="15.75" customHeight="1"/>
    <row r="528" s="1" customFormat="1" ht="15.75" customHeight="1"/>
    <row r="529" s="1" customFormat="1" ht="15.75" customHeight="1"/>
    <row r="530" s="1" customFormat="1" ht="15.75" customHeight="1"/>
    <row r="531" s="1" customFormat="1" ht="15.75" customHeight="1"/>
    <row r="532" s="1" customFormat="1" ht="15.75" customHeight="1"/>
    <row r="533" s="1" customFormat="1" ht="15.75" customHeight="1"/>
    <row r="534" s="1" customFormat="1" ht="15.75" customHeight="1"/>
    <row r="535" s="1" customFormat="1" ht="15.75" customHeight="1"/>
    <row r="536" s="1" customFormat="1" ht="15.75" customHeight="1"/>
    <row r="537" s="1" customFormat="1" ht="15.75" customHeight="1"/>
    <row r="538" s="1" customFormat="1" ht="15.75" customHeight="1"/>
    <row r="539" s="1" customFormat="1" ht="15.75" customHeight="1"/>
    <row r="540" s="1" customFormat="1" ht="15.75" customHeight="1"/>
    <row r="541" s="1" customFormat="1" ht="15.75" customHeight="1"/>
    <row r="542" s="1" customFormat="1" ht="15.75" customHeight="1"/>
    <row r="543" s="1" customFormat="1" ht="15.75" customHeight="1"/>
    <row r="544" s="1" customFormat="1" ht="15.75" customHeight="1"/>
    <row r="545" s="1" customFormat="1" ht="15.75" customHeight="1"/>
    <row r="546" s="1" customFormat="1" ht="15.75" customHeight="1"/>
    <row r="547" s="1" customFormat="1" ht="15.75" customHeight="1"/>
    <row r="548" s="1" customFormat="1" ht="15.75" customHeight="1"/>
    <row r="549" s="1" customFormat="1" ht="15.75" customHeight="1"/>
    <row r="550" s="1" customFormat="1" ht="15.75" customHeight="1"/>
    <row r="551" s="1" customFormat="1" ht="15.75" customHeight="1"/>
    <row r="552" s="1" customFormat="1" ht="15.75" customHeight="1"/>
    <row r="553" s="1" customFormat="1" ht="15.75" customHeight="1"/>
    <row r="554" s="1" customFormat="1" ht="15.75" customHeight="1"/>
    <row r="555" s="1" customFormat="1" ht="15.75" customHeight="1"/>
    <row r="556" s="1" customFormat="1" ht="15.75" customHeight="1"/>
    <row r="557" s="1" customFormat="1" ht="15.75" customHeight="1"/>
    <row r="558" s="1" customFormat="1" ht="15.75" customHeight="1"/>
    <row r="559" s="1" customFormat="1" ht="15.75" customHeight="1"/>
    <row r="560" s="1" customFormat="1" ht="15.75" customHeight="1"/>
    <row r="561" s="1" customFormat="1" ht="15.75" customHeight="1"/>
    <row r="562" s="1" customFormat="1" ht="15.75" customHeight="1"/>
    <row r="563" s="1" customFormat="1" ht="15.75" customHeight="1"/>
    <row r="564" s="1" customFormat="1" ht="15.75" customHeight="1"/>
    <row r="565" s="1" customFormat="1" ht="15.75" customHeight="1"/>
    <row r="566" s="1" customFormat="1" ht="15.75" customHeight="1"/>
    <row r="567" s="1" customFormat="1" ht="15.75" customHeight="1"/>
    <row r="568" s="1" customFormat="1" ht="15.75" customHeight="1"/>
    <row r="569" s="1" customFormat="1" ht="15.75" customHeight="1"/>
    <row r="570" s="1" customFormat="1" ht="15.75" customHeight="1"/>
    <row r="571" s="1" customFormat="1" ht="15.75" customHeight="1"/>
    <row r="572" s="1" customFormat="1" ht="15.75" customHeight="1"/>
    <row r="573" s="1" customFormat="1" ht="15.75" customHeight="1"/>
    <row r="574" s="1" customFormat="1" ht="15.75" customHeight="1"/>
    <row r="575" s="1" customFormat="1" ht="15.75" customHeight="1"/>
    <row r="576" s="1" customFormat="1" ht="15.75" customHeight="1"/>
    <row r="577" s="1" customFormat="1" ht="15.75" customHeight="1"/>
    <row r="578" s="1" customFormat="1" ht="15.75" customHeight="1"/>
    <row r="579" s="1" customFormat="1" ht="15.75" customHeight="1"/>
    <row r="580" s="1" customFormat="1" ht="15.75" customHeight="1"/>
    <row r="581" s="1" customFormat="1" ht="15.75" customHeight="1"/>
    <row r="582" s="1" customFormat="1" ht="15.75" customHeight="1"/>
    <row r="583" s="1" customFormat="1" ht="15.75" customHeight="1"/>
    <row r="584" s="1" customFormat="1" ht="15.75" customHeight="1"/>
    <row r="585" s="1" customFormat="1" ht="15.75" customHeight="1"/>
    <row r="586" s="1" customFormat="1" ht="15.75" customHeight="1"/>
    <row r="587" s="1" customFormat="1" ht="15.75" customHeight="1"/>
    <row r="588" s="1" customFormat="1" ht="15.75" customHeight="1"/>
    <row r="589" s="1" customFormat="1" ht="15.75" customHeight="1"/>
    <row r="590" s="1" customFormat="1" ht="15.75" customHeight="1"/>
    <row r="591" s="1" customFormat="1" ht="15.75" customHeight="1"/>
    <row r="592" s="1" customFormat="1" ht="15.75" customHeight="1"/>
    <row r="593" s="1" customFormat="1" ht="15.75" customHeight="1"/>
    <row r="594" s="1" customFormat="1" ht="15.75" customHeight="1"/>
    <row r="595" s="1" customFormat="1" ht="15.75" customHeight="1"/>
    <row r="596" s="1" customFormat="1" ht="15.75" customHeight="1"/>
    <row r="597" s="1" customFormat="1" ht="15.75" customHeight="1"/>
    <row r="598" s="1" customFormat="1" ht="15.75" customHeight="1"/>
    <row r="599" s="1" customFormat="1" ht="15.75" customHeight="1"/>
    <row r="600" s="1" customFormat="1" ht="15.75" customHeight="1"/>
    <row r="601" s="1" customFormat="1" ht="15.75" customHeight="1"/>
    <row r="602" s="1" customFormat="1" ht="15.75" customHeight="1"/>
    <row r="603" s="1" customFormat="1" ht="15.75" customHeight="1"/>
    <row r="604" s="1" customFormat="1" ht="15.75" customHeight="1"/>
    <row r="605" s="1" customFormat="1" ht="15.75" customHeight="1"/>
    <row r="606" s="1" customFormat="1" ht="15.75" customHeight="1"/>
    <row r="607" s="1" customFormat="1" ht="15.75" customHeight="1"/>
    <row r="608" s="1" customFormat="1" ht="15.75" customHeight="1"/>
    <row r="609" s="1" customFormat="1" ht="15.75" customHeight="1"/>
    <row r="610" s="1" customFormat="1" ht="15.75" customHeight="1"/>
    <row r="611" s="1" customFormat="1" ht="15.75" customHeight="1"/>
    <row r="612" s="1" customFormat="1" ht="15.75" customHeight="1"/>
    <row r="613" s="1" customFormat="1" ht="15.75" customHeight="1"/>
    <row r="614" s="1" customFormat="1" ht="15.75" customHeight="1"/>
    <row r="615" s="1" customFormat="1" ht="15.75" customHeight="1"/>
    <row r="616" s="1" customFormat="1" ht="15.75" customHeight="1"/>
    <row r="617" s="1" customFormat="1" ht="15.75" customHeight="1"/>
    <row r="618" s="1" customFormat="1" ht="15.75" customHeight="1"/>
    <row r="619" s="1" customFormat="1" ht="15.75" customHeight="1"/>
    <row r="620" s="1" customFormat="1" ht="15.75" customHeight="1"/>
    <row r="621" s="1" customFormat="1" ht="15.75" customHeight="1"/>
    <row r="622" s="1" customFormat="1" ht="15.75" customHeight="1"/>
    <row r="623" s="1" customFormat="1" ht="15.75" customHeight="1"/>
    <row r="624" s="1" customFormat="1" ht="15.75" customHeight="1"/>
    <row r="625" s="1" customFormat="1" ht="15.75" customHeight="1"/>
    <row r="626" s="1" customFormat="1" ht="15.75" customHeight="1"/>
    <row r="627" s="1" customFormat="1" ht="15.75" customHeight="1"/>
    <row r="628" s="1" customFormat="1" ht="15.75" customHeight="1"/>
    <row r="629" s="1" customFormat="1" ht="15.75" customHeight="1"/>
    <row r="630" s="1" customFormat="1" ht="15.75" customHeight="1"/>
    <row r="631" s="1" customFormat="1" ht="15.75" customHeight="1"/>
    <row r="632" s="1" customFormat="1" ht="15.75" customHeight="1"/>
    <row r="633" s="1" customFormat="1" ht="15.75" customHeight="1"/>
    <row r="634" s="1" customFormat="1" ht="15.75" customHeight="1"/>
    <row r="635" s="1" customFormat="1" ht="15.75" customHeight="1"/>
    <row r="636" s="1" customFormat="1" ht="15.75" customHeight="1"/>
    <row r="637" s="1" customFormat="1" ht="15.75" customHeight="1"/>
    <row r="638" s="1" customFormat="1" ht="15.75" customHeight="1"/>
    <row r="639" s="1" customFormat="1" ht="15.75" customHeight="1"/>
    <row r="640" s="1" customFormat="1" ht="15.75" customHeight="1"/>
    <row r="641" s="1" customFormat="1" ht="15.75" customHeight="1"/>
    <row r="642" s="1" customFormat="1" ht="15.75" customHeight="1"/>
    <row r="643" s="1" customFormat="1" ht="15.75" customHeight="1"/>
    <row r="644" s="1" customFormat="1" ht="15.75" customHeight="1"/>
    <row r="645" s="1" customFormat="1" ht="15.75" customHeight="1"/>
    <row r="646" s="1" customFormat="1" ht="15.75" customHeight="1"/>
    <row r="647" s="1" customFormat="1" ht="15.75" customHeight="1"/>
    <row r="648" s="1" customFormat="1" ht="15.75" customHeight="1"/>
    <row r="649" s="1" customFormat="1" ht="15.75" customHeight="1"/>
    <row r="650" s="1" customFormat="1" ht="15.75" customHeight="1"/>
    <row r="651" s="1" customFormat="1" ht="15.75" customHeight="1"/>
    <row r="652" s="1" customFormat="1" ht="15.75" customHeight="1"/>
    <row r="653" s="1" customFormat="1" ht="15.75" customHeight="1"/>
    <row r="654" s="1" customFormat="1" ht="15.75" customHeight="1"/>
    <row r="655" s="1" customFormat="1" ht="15.75" customHeight="1"/>
    <row r="656" s="1" customFormat="1" ht="15.75" customHeight="1"/>
    <row r="657" s="1" customFormat="1" ht="15.75" customHeight="1"/>
    <row r="658" s="1" customFormat="1" ht="15.75" customHeight="1"/>
    <row r="659" s="1" customFormat="1" ht="15.75" customHeight="1"/>
    <row r="660" s="1" customFormat="1" ht="15.75" customHeight="1"/>
    <row r="661" s="1" customFormat="1" ht="15.75" customHeight="1"/>
    <row r="662" s="1" customFormat="1" ht="15.75" customHeight="1"/>
    <row r="663" s="1" customFormat="1" ht="15.75" customHeight="1"/>
    <row r="664" s="1" customFormat="1" ht="15.75" customHeight="1"/>
    <row r="665" s="1" customFormat="1" ht="15.75" customHeight="1"/>
    <row r="666" s="1" customFormat="1" ht="15.75" customHeight="1"/>
    <row r="667" s="1" customFormat="1" ht="15.75" customHeight="1"/>
    <row r="668" s="1" customFormat="1" ht="15.75" customHeight="1"/>
    <row r="669" s="1" customFormat="1" ht="15.75" customHeight="1"/>
    <row r="670" s="1" customFormat="1" ht="15.75" customHeight="1"/>
    <row r="671" s="1" customFormat="1" ht="15.75" customHeight="1"/>
    <row r="672" s="1" customFormat="1" ht="15.75" customHeight="1"/>
    <row r="673" s="1" customFormat="1" ht="15.75" customHeight="1"/>
    <row r="674" s="1" customFormat="1" ht="15.75" customHeight="1"/>
    <row r="675" s="1" customFormat="1" ht="15.75" customHeight="1"/>
    <row r="676" s="1" customFormat="1" ht="15.75" customHeight="1"/>
    <row r="677" s="1" customFormat="1" ht="15.75" customHeight="1"/>
    <row r="678" s="1" customFormat="1" ht="15.75" customHeight="1"/>
    <row r="679" s="1" customFormat="1" ht="15.75" customHeight="1"/>
    <row r="680" s="1" customFormat="1" ht="15.75" customHeight="1"/>
    <row r="681" s="1" customFormat="1" ht="15.75" customHeight="1"/>
    <row r="682" s="1" customFormat="1" ht="15.75" customHeight="1"/>
    <row r="683" s="1" customFormat="1" ht="15.75" customHeight="1"/>
    <row r="684" s="1" customFormat="1" ht="15.75" customHeight="1"/>
    <row r="685" s="1" customFormat="1" ht="15.75" customHeight="1"/>
    <row r="686" s="1" customFormat="1" ht="15.75" customHeight="1"/>
    <row r="687" s="1" customFormat="1" ht="15.75" customHeight="1"/>
    <row r="688" s="1" customFormat="1" ht="15.75" customHeight="1"/>
    <row r="689" s="1" customFormat="1" ht="15.75" customHeight="1"/>
    <row r="690" s="1" customFormat="1" ht="15.75" customHeight="1"/>
    <row r="691" s="1" customFormat="1" ht="15.75" customHeight="1"/>
    <row r="692" s="1" customFormat="1" ht="15.75" customHeight="1"/>
    <row r="693" s="1" customFormat="1" ht="15.75" customHeight="1"/>
    <row r="694" s="1" customFormat="1" ht="15.75" customHeight="1"/>
    <row r="695" s="1" customFormat="1" ht="15.75" customHeight="1"/>
    <row r="696" s="1" customFormat="1" ht="15.75" customHeight="1"/>
    <row r="697" s="1" customFormat="1" ht="15.75" customHeight="1"/>
    <row r="698" s="1" customFormat="1" ht="15.75" customHeight="1"/>
    <row r="699" s="1" customFormat="1" ht="15.75" customHeight="1"/>
    <row r="700" s="1" customFormat="1" ht="15.75" customHeight="1"/>
    <row r="701" s="1" customFormat="1" ht="15.75" customHeight="1"/>
    <row r="702" s="1" customFormat="1" ht="15.75" customHeight="1"/>
    <row r="703" s="1" customFormat="1" ht="15.75" customHeight="1"/>
    <row r="704" s="1" customFormat="1" ht="15.75" customHeight="1"/>
    <row r="705" s="1" customFormat="1" ht="15.75" customHeight="1"/>
    <row r="706" s="1" customFormat="1" ht="15.75" customHeight="1"/>
    <row r="707" s="1" customFormat="1" ht="15.75" customHeight="1"/>
    <row r="708" s="1" customFormat="1" ht="15.75" customHeight="1"/>
    <row r="709" s="1" customFormat="1" ht="15.75" customHeight="1"/>
    <row r="710" s="1" customFormat="1" ht="15.75" customHeight="1"/>
    <row r="711" s="1" customFormat="1" ht="15.75" customHeight="1"/>
    <row r="712" s="1" customFormat="1" ht="15.75" customHeight="1"/>
    <row r="713" s="1" customFormat="1" ht="15.75" customHeight="1"/>
    <row r="714" s="1" customFormat="1" ht="15.75" customHeight="1"/>
    <row r="715" s="1" customFormat="1" ht="15.75" customHeight="1"/>
    <row r="716" s="1" customFormat="1" ht="15.75" customHeight="1"/>
    <row r="717" s="1" customFormat="1" ht="15.75" customHeight="1"/>
    <row r="718" s="1" customFormat="1" ht="15.75" customHeight="1"/>
    <row r="719" s="1" customFormat="1" ht="15.75" customHeight="1"/>
    <row r="720" s="1" customFormat="1" ht="15.75" customHeight="1"/>
    <row r="721" s="1" customFormat="1" ht="15.75" customHeight="1"/>
    <row r="722" s="1" customFormat="1" ht="15.75" customHeight="1"/>
    <row r="723" s="1" customFormat="1" ht="15.75" customHeight="1"/>
    <row r="724" s="1" customFormat="1" ht="15.75" customHeight="1"/>
    <row r="725" s="1" customFormat="1" ht="15.75" customHeight="1"/>
    <row r="726" s="1" customFormat="1" ht="15.75" customHeight="1"/>
    <row r="727" s="1" customFormat="1" ht="15.75" customHeight="1"/>
    <row r="728" s="1" customFormat="1" ht="15.75" customHeight="1"/>
    <row r="729" s="1" customFormat="1" ht="15.75" customHeight="1"/>
    <row r="730" s="1" customFormat="1" ht="15.75" customHeight="1"/>
    <row r="731" s="1" customFormat="1" ht="15.75" customHeight="1"/>
    <row r="732" s="1" customFormat="1" ht="15.75" customHeight="1"/>
    <row r="733" s="1" customFormat="1" ht="15.75" customHeight="1"/>
    <row r="734" s="1" customFormat="1" ht="15.75" customHeight="1"/>
    <row r="735" s="1" customFormat="1" ht="15.75" customHeight="1"/>
    <row r="736" s="1" customFormat="1" ht="15.75" customHeight="1"/>
    <row r="737" s="1" customFormat="1" ht="15.75" customHeight="1"/>
    <row r="738" s="1" customFormat="1" ht="15.75" customHeight="1"/>
    <row r="739" s="1" customFormat="1" ht="15.75" customHeight="1"/>
    <row r="740" s="1" customFormat="1" ht="15.75" customHeight="1"/>
    <row r="741" s="1" customFormat="1" ht="15.75" customHeight="1"/>
    <row r="742" s="1" customFormat="1" ht="15.75" customHeight="1"/>
    <row r="743" s="1" customFormat="1" ht="15.75" customHeight="1"/>
    <row r="744" s="1" customFormat="1" ht="15.75" customHeight="1"/>
    <row r="745" s="1" customFormat="1" ht="15.75" customHeight="1"/>
    <row r="746" s="1" customFormat="1" ht="15.75" customHeight="1"/>
    <row r="747" s="1" customFormat="1" ht="15.75" customHeight="1"/>
    <row r="748" s="1" customFormat="1" ht="15.75" customHeight="1"/>
    <row r="749" s="1" customFormat="1" ht="15.75" customHeight="1"/>
    <row r="750" s="1" customFormat="1" ht="15.75" customHeight="1"/>
    <row r="751" s="1" customFormat="1" ht="15.75" customHeight="1"/>
    <row r="752" s="1" customFormat="1" ht="15.75" customHeight="1"/>
    <row r="753" s="1" customFormat="1" ht="15.75" customHeight="1"/>
    <row r="754" s="1" customFormat="1" ht="15.75" customHeight="1"/>
    <row r="755" s="1" customFormat="1" ht="15.75" customHeight="1"/>
    <row r="756" s="1" customFormat="1" ht="15.75" customHeight="1"/>
    <row r="757" s="1" customFormat="1" ht="15.75" customHeight="1"/>
    <row r="758" s="1" customFormat="1" ht="15.75" customHeight="1"/>
    <row r="759" s="1" customFormat="1" ht="15.75" customHeight="1"/>
    <row r="760" s="1" customFormat="1" ht="15.75" customHeight="1"/>
    <row r="761" s="1" customFormat="1" ht="15.75" customHeight="1"/>
    <row r="762" s="1" customFormat="1" ht="15.75" customHeight="1"/>
    <row r="763" s="1" customFormat="1" ht="15.75" customHeight="1"/>
    <row r="764" s="1" customFormat="1" ht="15.75" customHeight="1"/>
    <row r="765" s="1" customFormat="1" ht="15.75" customHeight="1"/>
    <row r="766" s="1" customFormat="1" ht="15.75" customHeight="1"/>
    <row r="767" s="1" customFormat="1" ht="15.75" customHeight="1"/>
    <row r="768" s="1" customFormat="1" ht="15.75" customHeight="1"/>
    <row r="769" s="1" customFormat="1" ht="15.75" customHeight="1"/>
    <row r="770" s="1" customFormat="1" ht="15.75" customHeight="1"/>
    <row r="771" s="1" customFormat="1" ht="15.75" customHeight="1"/>
    <row r="772" s="1" customFormat="1" ht="15.75" customHeight="1"/>
    <row r="773" s="1" customFormat="1" ht="15.75" customHeight="1"/>
    <row r="774" s="1" customFormat="1" ht="15.75" customHeight="1"/>
    <row r="775" s="1" customFormat="1" ht="15.75" customHeight="1"/>
    <row r="776" s="1" customFormat="1" ht="15.75" customHeight="1"/>
    <row r="777" s="1" customFormat="1" ht="15.75" customHeight="1"/>
    <row r="778" s="1" customFormat="1" ht="15.75" customHeight="1"/>
    <row r="779" s="1" customFormat="1" ht="15.75" customHeight="1"/>
    <row r="780" s="1" customFormat="1" ht="15.75" customHeight="1"/>
    <row r="781" s="1" customFormat="1" ht="15.75" customHeight="1"/>
    <row r="782" s="1" customFormat="1" ht="15.75" customHeight="1"/>
    <row r="783" s="1" customFormat="1" ht="15.75" customHeight="1"/>
    <row r="784" s="1" customFormat="1" ht="15.75" customHeight="1"/>
    <row r="785" s="1" customFormat="1" ht="15.75" customHeight="1"/>
    <row r="786" s="1" customFormat="1" ht="15.75" customHeight="1"/>
    <row r="787" s="1" customFormat="1" ht="15.75" customHeight="1"/>
    <row r="788" s="1" customFormat="1" ht="15.75" customHeight="1"/>
    <row r="789" s="1" customFormat="1" ht="15.75" customHeight="1"/>
    <row r="790" s="1" customFormat="1" ht="15.75" customHeight="1"/>
    <row r="791" s="1" customFormat="1" ht="15.75" customHeight="1"/>
    <row r="792" s="1" customFormat="1" ht="15.75" customHeight="1"/>
    <row r="793" s="1" customFormat="1" ht="15.75" customHeight="1"/>
    <row r="794" s="1" customFormat="1" ht="15.75" customHeight="1"/>
    <row r="795" s="1" customFormat="1" ht="15.75" customHeight="1"/>
    <row r="796" s="1" customFormat="1" ht="15.75" customHeight="1"/>
    <row r="797" s="1" customFormat="1" ht="15.75" customHeight="1"/>
    <row r="798" s="1" customFormat="1" ht="15.75" customHeight="1"/>
    <row r="799" s="1" customFormat="1" ht="15.75" customHeight="1"/>
    <row r="800" s="1" customFormat="1" ht="15.75" customHeight="1"/>
    <row r="801" s="1" customFormat="1" ht="15.75" customHeight="1"/>
    <row r="802" s="1" customFormat="1" ht="15.75" customHeight="1"/>
    <row r="803" s="1" customFormat="1" ht="15.75" customHeight="1"/>
    <row r="804" s="1" customFormat="1" ht="15.75" customHeight="1"/>
    <row r="805" s="1" customFormat="1" ht="15.75" customHeight="1"/>
    <row r="806" s="1" customFormat="1" ht="15.75" customHeight="1"/>
    <row r="807" s="1" customFormat="1" ht="15.75" customHeight="1"/>
    <row r="808" s="1" customFormat="1" ht="15.75" customHeight="1"/>
    <row r="809" s="1" customFormat="1" ht="15.75" customHeight="1"/>
    <row r="810" s="1" customFormat="1" ht="15.75" customHeight="1"/>
    <row r="811" s="1" customFormat="1" ht="15.75" customHeight="1"/>
    <row r="812" s="1" customFormat="1" ht="15.75" customHeight="1"/>
    <row r="813" s="1" customFormat="1" ht="15.75" customHeight="1"/>
    <row r="814" s="1" customFormat="1" ht="15.75" customHeight="1"/>
    <row r="815" s="1" customFormat="1" ht="15.75" customHeight="1"/>
    <row r="816" s="1" customFormat="1" ht="15.75" customHeight="1"/>
    <row r="817" s="1" customFormat="1" ht="15.75" customHeight="1"/>
    <row r="818" s="1" customFormat="1" ht="15.75" customHeight="1"/>
    <row r="819" s="1" customFormat="1" ht="15.75" customHeight="1"/>
    <row r="820" s="1" customFormat="1" ht="15.75" customHeight="1"/>
    <row r="821" s="1" customFormat="1" ht="15.75" customHeight="1"/>
    <row r="822" s="1" customFormat="1" ht="15.75" customHeight="1"/>
    <row r="823" s="1" customFormat="1" ht="15.75" customHeight="1"/>
    <row r="824" s="1" customFormat="1" ht="15.75" customHeight="1"/>
    <row r="825" s="1" customFormat="1" ht="15.75" customHeight="1"/>
    <row r="826" s="1" customFormat="1" ht="15.75" customHeight="1"/>
    <row r="827" s="1" customFormat="1" ht="15.75" customHeight="1"/>
    <row r="828" s="1" customFormat="1" ht="15.75" customHeight="1"/>
    <row r="829" s="1" customFormat="1" ht="15.75" customHeight="1"/>
    <row r="830" s="1" customFormat="1" ht="15.75" customHeight="1"/>
    <row r="831" s="1" customFormat="1" ht="15.75" customHeight="1"/>
    <row r="832" s="1" customFormat="1" ht="15.75" customHeight="1"/>
    <row r="833" s="1" customFormat="1" ht="15.75" customHeight="1"/>
    <row r="834" s="1" customFormat="1" ht="15.75" customHeight="1"/>
    <row r="835" s="1" customFormat="1" ht="15.75" customHeight="1"/>
    <row r="836" s="1" customFormat="1" ht="15.75" customHeight="1"/>
    <row r="837" s="1" customFormat="1" ht="15.75" customHeight="1"/>
    <row r="838" s="1" customFormat="1" ht="15.75" customHeight="1"/>
    <row r="839" s="1" customFormat="1" ht="15.75" customHeight="1"/>
    <row r="840" s="1" customFormat="1" ht="15.75" customHeight="1"/>
    <row r="841" s="1" customFormat="1" ht="15.75" customHeight="1"/>
    <row r="842" s="1" customFormat="1" ht="15.75" customHeight="1"/>
    <row r="843" s="1" customFormat="1" ht="15.75" customHeight="1"/>
    <row r="844" s="1" customFormat="1" ht="15.75" customHeight="1"/>
    <row r="845" s="1" customFormat="1" ht="15.75" customHeight="1"/>
    <row r="846" s="1" customFormat="1" ht="15.75" customHeight="1"/>
    <row r="847" s="1" customFormat="1" ht="15.75" customHeight="1"/>
    <row r="848" s="1" customFormat="1" ht="15.75" customHeight="1"/>
    <row r="849" s="1" customFormat="1" ht="15.75" customHeight="1"/>
    <row r="850" s="1" customFormat="1" ht="15.75" customHeight="1"/>
    <row r="851" s="1" customFormat="1" ht="15.75" customHeight="1"/>
    <row r="852" s="1" customFormat="1" ht="15.75" customHeight="1"/>
    <row r="853" s="1" customFormat="1" ht="15.75" customHeight="1"/>
    <row r="854" s="1" customFormat="1" ht="15.75" customHeight="1"/>
    <row r="855" s="1" customFormat="1" ht="15.75" customHeight="1"/>
    <row r="856" s="1" customFormat="1" ht="15.75" customHeight="1"/>
    <row r="857" s="1" customFormat="1" ht="15.75" customHeight="1"/>
    <row r="858" s="1" customFormat="1" ht="15.75" customHeight="1"/>
    <row r="859" s="1" customFormat="1" ht="15.75" customHeight="1"/>
    <row r="860" s="1" customFormat="1" ht="15.75" customHeight="1"/>
    <row r="861" s="1" customFormat="1" ht="15.75" customHeight="1"/>
    <row r="862" s="1" customFormat="1" ht="15.75" customHeight="1"/>
    <row r="863" s="1" customFormat="1" ht="15.75" customHeight="1"/>
    <row r="864" s="1" customFormat="1" ht="15.75" customHeight="1"/>
    <row r="865" s="1" customFormat="1" ht="15.75" customHeight="1"/>
    <row r="866" s="1" customFormat="1" ht="15.75" customHeight="1"/>
    <row r="867" s="1" customFormat="1" ht="15.75" customHeight="1"/>
    <row r="868" s="1" customFormat="1" ht="15.75" customHeight="1"/>
    <row r="869" s="1" customFormat="1" ht="15.75" customHeight="1"/>
    <row r="870" s="1" customFormat="1" ht="15.75" customHeight="1"/>
    <row r="871" s="1" customFormat="1" ht="15.75" customHeight="1"/>
    <row r="872" s="1" customFormat="1" ht="15.75" customHeight="1"/>
    <row r="873" s="1" customFormat="1" ht="15.75" customHeight="1"/>
    <row r="874" s="1" customFormat="1" ht="15.75" customHeight="1"/>
    <row r="875" s="1" customFormat="1" ht="15.75" customHeight="1"/>
    <row r="876" s="1" customFormat="1" ht="15.75" customHeight="1"/>
    <row r="877" s="1" customFormat="1" ht="15.75" customHeight="1"/>
    <row r="878" s="1" customFormat="1" ht="15.75" customHeight="1"/>
    <row r="879" s="1" customFormat="1" ht="15.75" customHeight="1"/>
    <row r="880" s="1" customFormat="1" ht="15.75" customHeight="1"/>
    <row r="881" s="1" customFormat="1" ht="15.75" customHeight="1"/>
    <row r="882" s="1" customFormat="1" ht="15.75" customHeight="1"/>
    <row r="883" s="1" customFormat="1" ht="15.75" customHeight="1"/>
    <row r="884" s="1" customFormat="1" ht="15.75" customHeight="1"/>
    <row r="885" s="1" customFormat="1" ht="15.75" customHeight="1"/>
    <row r="886" s="1" customFormat="1" ht="15.75" customHeight="1"/>
    <row r="887" s="1" customFormat="1" ht="15.75" customHeight="1"/>
    <row r="888" s="1" customFormat="1" ht="15.75" customHeight="1"/>
    <row r="889" s="1" customFormat="1" ht="15.75" customHeight="1"/>
    <row r="890" s="1" customFormat="1" ht="15.75" customHeight="1"/>
    <row r="891" s="1" customFormat="1" ht="15.75" customHeight="1"/>
    <row r="892" s="1" customFormat="1" ht="15.75" customHeight="1"/>
    <row r="893" s="1" customFormat="1" ht="15.75" customHeight="1"/>
    <row r="894" s="1" customFormat="1" ht="15.75" customHeight="1"/>
    <row r="895" s="1" customFormat="1" ht="15.75" customHeight="1"/>
    <row r="896" s="1" customFormat="1" ht="15.75" customHeight="1"/>
    <row r="897" s="1" customFormat="1" ht="15.75" customHeight="1"/>
    <row r="898" s="1" customFormat="1" ht="15.75" customHeight="1"/>
    <row r="899" s="1" customFormat="1" ht="15.75" customHeight="1"/>
    <row r="900" s="1" customFormat="1" ht="15.75" customHeight="1"/>
    <row r="901" s="1" customFormat="1" ht="15.75" customHeight="1"/>
    <row r="902" s="1" customFormat="1" ht="15.75" customHeight="1"/>
    <row r="903" s="1" customFormat="1" ht="15.75" customHeight="1"/>
    <row r="904" s="1" customFormat="1" ht="15.75" customHeight="1"/>
    <row r="905" s="1" customFormat="1" ht="15.75" customHeight="1"/>
    <row r="906" s="1" customFormat="1" ht="15.75" customHeight="1"/>
    <row r="907" s="1" customFormat="1" ht="15.75" customHeight="1"/>
    <row r="908" s="1" customFormat="1" ht="15.75" customHeight="1"/>
    <row r="909" s="1" customFormat="1" ht="15.75" customHeight="1"/>
    <row r="910" s="1" customFormat="1" ht="15.75" customHeight="1"/>
    <row r="911" s="1" customFormat="1" ht="15.75" customHeight="1"/>
    <row r="912" s="1" customFormat="1" ht="15.75" customHeight="1"/>
    <row r="913" s="1" customFormat="1" ht="15.75" customHeight="1"/>
    <row r="914" s="1" customFormat="1" ht="15.75" customHeight="1"/>
    <row r="915" s="1" customFormat="1" ht="15.75" customHeight="1"/>
    <row r="916" s="1" customFormat="1" ht="15.75" customHeight="1"/>
    <row r="917" s="1" customFormat="1" ht="15.75" customHeight="1"/>
    <row r="918" s="1" customFormat="1" ht="15.75" customHeight="1"/>
    <row r="919" s="1" customFormat="1" ht="15.75" customHeight="1"/>
    <row r="920" s="1" customFormat="1" ht="15.75" customHeight="1"/>
    <row r="921" s="1" customFormat="1" ht="15.75" customHeight="1"/>
    <row r="922" s="1" customFormat="1" ht="15.75" customHeight="1"/>
    <row r="923" s="1" customFormat="1" ht="15.75" customHeight="1"/>
    <row r="924" s="1" customFormat="1" ht="15.75" customHeight="1"/>
    <row r="925" s="1" customFormat="1" ht="15.75" customHeight="1"/>
    <row r="926" s="1" customFormat="1" ht="15.75" customHeight="1"/>
    <row r="927" s="1" customFormat="1" ht="15.75" customHeight="1"/>
    <row r="928" s="1" customFormat="1" ht="15.75" customHeight="1"/>
    <row r="929" s="1" customFormat="1" ht="15.75" customHeight="1"/>
    <row r="930" s="1" customFormat="1" ht="15.75" customHeight="1"/>
    <row r="931" s="1" customFormat="1" ht="15.75" customHeight="1"/>
    <row r="932" s="1" customFormat="1" ht="15.75" customHeight="1"/>
    <row r="933" s="1" customFormat="1" ht="15.75" customHeight="1"/>
    <row r="934" s="1" customFormat="1" ht="15.75" customHeight="1"/>
    <row r="935" s="1" customFormat="1" ht="15.75" customHeight="1"/>
    <row r="936" s="1" customFormat="1" ht="15.75" customHeight="1"/>
    <row r="937" s="1" customFormat="1" ht="15.75" customHeight="1"/>
    <row r="938" s="1" customFormat="1" ht="15.75" customHeight="1"/>
    <row r="939" s="1" customFormat="1" ht="15.75" customHeight="1"/>
    <row r="940" s="1" customFormat="1" ht="15.75" customHeight="1"/>
    <row r="941" s="1" customFormat="1" ht="15.75" customHeight="1"/>
    <row r="942" s="1" customFormat="1" ht="15.75" customHeight="1"/>
    <row r="943" s="1" customFormat="1" ht="15.75" customHeight="1"/>
    <row r="944" s="1" customFormat="1" ht="15.75" customHeight="1"/>
    <row r="945" s="1" customFormat="1" ht="15.75" customHeight="1"/>
    <row r="946" s="1" customFormat="1" ht="15.75" customHeight="1"/>
    <row r="947" s="1" customFormat="1" ht="15.75" customHeight="1"/>
    <row r="948" s="1" customFormat="1" ht="15.75" customHeight="1"/>
    <row r="949" s="1" customFormat="1" ht="15.75" customHeight="1"/>
    <row r="950" s="1" customFormat="1" ht="15.75" customHeight="1"/>
    <row r="951" s="1" customFormat="1" ht="15.75" customHeight="1"/>
    <row r="952" s="1" customFormat="1" ht="15.75" customHeight="1"/>
    <row r="953" s="1" customFormat="1" ht="15.75" customHeight="1"/>
    <row r="954" s="1" customFormat="1" ht="15.75" customHeight="1"/>
    <row r="955" s="1" customFormat="1" ht="15.75" customHeight="1"/>
    <row r="956" s="1" customFormat="1" ht="15.75" customHeight="1"/>
    <row r="957" s="1" customFormat="1" ht="15.75" customHeight="1"/>
    <row r="958" s="1" customFormat="1" ht="15.75" customHeight="1"/>
    <row r="959" s="1" customFormat="1" ht="15.75" customHeight="1"/>
    <row r="960" s="1" customFormat="1" ht="15.75" customHeight="1"/>
    <row r="961" s="1" customFormat="1" ht="15.75" customHeight="1"/>
    <row r="962" s="1" customFormat="1" ht="15.75" customHeight="1"/>
    <row r="963" s="1" customFormat="1" ht="15.75" customHeight="1"/>
    <row r="964" s="1" customFormat="1" ht="15.75" customHeight="1"/>
    <row r="965" s="1" customFormat="1" ht="15.75" customHeight="1"/>
    <row r="966" s="1" customFormat="1" ht="15.75" customHeight="1"/>
    <row r="967" s="1" customFormat="1" ht="15.75" customHeight="1"/>
    <row r="968" s="1" customFormat="1" ht="15.75" customHeight="1"/>
    <row r="969" s="1" customFormat="1" ht="15.75" customHeight="1"/>
    <row r="970" s="1" customFormat="1" ht="15.75" customHeight="1"/>
    <row r="971" s="1" customFormat="1" ht="15.75" customHeight="1"/>
    <row r="972" s="1" customFormat="1" ht="15.75" customHeight="1"/>
    <row r="973" s="1" customFormat="1" ht="15.75" customHeight="1"/>
    <row r="974" s="1" customFormat="1" ht="15.75" customHeight="1"/>
    <row r="975" s="1" customFormat="1" ht="15.75" customHeight="1"/>
    <row r="976" s="1" customFormat="1" ht="15.75" customHeight="1"/>
    <row r="977" s="1" customFormat="1" ht="15.75" customHeight="1"/>
    <row r="978" s="1" customFormat="1" ht="15.75" customHeight="1"/>
    <row r="979" s="1" customFormat="1" ht="15.75" customHeight="1"/>
    <row r="980" s="1" customFormat="1" ht="15.75" customHeight="1"/>
    <row r="981" s="1" customFormat="1" ht="15.75" customHeight="1"/>
    <row r="982" s="1" customFormat="1" ht="15.75" customHeight="1"/>
    <row r="983" s="1" customFormat="1" ht="15.75" customHeight="1"/>
    <row r="984" s="1" customFormat="1" ht="15.75" customHeight="1"/>
    <row r="985" s="1" customFormat="1" ht="15.75" customHeight="1"/>
    <row r="986" s="1" customFormat="1" ht="15.75" customHeight="1"/>
    <row r="987" s="1" customFormat="1" ht="15.75" customHeight="1"/>
    <row r="988" s="1" customFormat="1" ht="15.75" customHeight="1"/>
    <row r="989" s="1" customFormat="1" ht="15.75" customHeight="1"/>
    <row r="990" s="1" customFormat="1" ht="15.75" customHeight="1"/>
    <row r="991" s="1" customFormat="1" ht="15.75" customHeight="1"/>
    <row r="992" s="1" customFormat="1" ht="15.75" customHeight="1"/>
    <row r="993" s="1" customFormat="1" ht="15.75" customHeight="1"/>
    <row r="994" s="1" customFormat="1" ht="15.75" customHeight="1"/>
    <row r="995" s="1" customFormat="1" ht="15.75" customHeight="1"/>
    <row r="996" s="1" customFormat="1" ht="15.75" customHeight="1"/>
    <row r="997" s="1" customFormat="1" ht="15.75" customHeight="1"/>
    <row r="998" s="1" customFormat="1" ht="15.75" customHeight="1"/>
    <row r="999" s="1" customFormat="1" ht="15.75" customHeight="1"/>
    <row r="1000" s="1" customFormat="1" ht="15.75" customHeight="1"/>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45E48-249B-4079-B64D-36E43C7BFF2E}">
  <sheetPr>
    <outlinePr summaryBelow="0" summaryRight="0"/>
  </sheetPr>
  <dimension ref="A1:D999"/>
  <sheetViews>
    <sheetView topLeftCell="A7" workbookViewId="0">
      <selection activeCell="A5" sqref="A5"/>
    </sheetView>
  </sheetViews>
  <sheetFormatPr defaultColWidth="13.42578125" defaultRowHeight="15"/>
  <cols>
    <col min="1" max="1" width="64.42578125" customWidth="1"/>
    <col min="2" max="2" width="25.85546875" customWidth="1"/>
    <col min="3" max="3" width="14.42578125" customWidth="1"/>
    <col min="4" max="4" width="30.28515625" customWidth="1"/>
  </cols>
  <sheetData>
    <row r="1" spans="1:4">
      <c r="A1" s="59" t="s">
        <v>231</v>
      </c>
      <c r="B1" s="59"/>
      <c r="C1" s="59"/>
      <c r="D1" s="59"/>
    </row>
    <row r="2" spans="1:4" ht="70.5" customHeight="1">
      <c r="A2" s="58" t="s">
        <v>232</v>
      </c>
      <c r="B2" s="58"/>
      <c r="C2" s="58"/>
      <c r="D2" s="58"/>
    </row>
    <row r="3" spans="1:4">
      <c r="A3" s="34"/>
      <c r="B3" s="23"/>
    </row>
    <row r="4" spans="1:4">
      <c r="A4" s="24" t="s">
        <v>233</v>
      </c>
      <c r="B4" s="24" t="s">
        <v>234</v>
      </c>
      <c r="C4" s="25" t="s">
        <v>235</v>
      </c>
      <c r="D4" s="25" t="s">
        <v>236</v>
      </c>
    </row>
    <row r="5" spans="1:4">
      <c r="A5" s="35" t="s">
        <v>237</v>
      </c>
      <c r="B5" s="36" t="s">
        <v>238</v>
      </c>
      <c r="C5" s="37"/>
      <c r="D5" s="37"/>
    </row>
    <row r="6" spans="1:4" ht="60">
      <c r="A6" s="35" t="s">
        <v>239</v>
      </c>
      <c r="B6" s="36" t="s">
        <v>240</v>
      </c>
      <c r="C6" s="37"/>
      <c r="D6" s="37"/>
    </row>
    <row r="7" spans="1:4" ht="60">
      <c r="A7" s="35" t="s">
        <v>241</v>
      </c>
      <c r="B7" s="36" t="s">
        <v>242</v>
      </c>
      <c r="C7" s="37"/>
      <c r="D7" s="37"/>
    </row>
    <row r="8" spans="1:4" ht="105">
      <c r="A8" s="35" t="s">
        <v>243</v>
      </c>
      <c r="B8" s="36" t="s">
        <v>238</v>
      </c>
      <c r="C8" s="37"/>
      <c r="D8" s="37"/>
    </row>
    <row r="9" spans="1:4" ht="45">
      <c r="A9" s="35" t="s">
        <v>244</v>
      </c>
      <c r="B9" s="36" t="s">
        <v>245</v>
      </c>
      <c r="C9" s="37"/>
      <c r="D9" s="37"/>
    </row>
    <row r="10" spans="1:4" ht="75">
      <c r="A10" s="35" t="s">
        <v>246</v>
      </c>
      <c r="B10" s="36" t="s">
        <v>247</v>
      </c>
      <c r="C10" s="37"/>
      <c r="D10" s="37"/>
    </row>
    <row r="11" spans="1:4" ht="120">
      <c r="A11" s="35" t="s">
        <v>248</v>
      </c>
      <c r="B11" s="36" t="s">
        <v>247</v>
      </c>
      <c r="C11" s="37"/>
      <c r="D11" s="37"/>
    </row>
    <row r="12" spans="1:4">
      <c r="A12" s="34"/>
      <c r="B12" s="34" t="s">
        <v>249</v>
      </c>
      <c r="C12" s="38">
        <f>SUM(C5:C11)</f>
        <v>0</v>
      </c>
    </row>
    <row r="13" spans="1:4">
      <c r="A13" s="34"/>
      <c r="B13" s="34" t="s">
        <v>250</v>
      </c>
    </row>
    <row r="14" spans="1:4">
      <c r="A14" s="34"/>
      <c r="B14" s="34"/>
    </row>
    <row r="15" spans="1:4">
      <c r="A15" s="34"/>
      <c r="B15" s="34"/>
    </row>
    <row r="16" spans="1:4">
      <c r="A16" s="34"/>
      <c r="B16" s="34"/>
    </row>
    <row r="17" spans="1:2">
      <c r="A17" s="34"/>
      <c r="B17" s="34"/>
    </row>
    <row r="18" spans="1:2">
      <c r="A18" s="34"/>
      <c r="B18" s="34"/>
    </row>
    <row r="19" spans="1:2">
      <c r="A19" s="34"/>
      <c r="B19" s="34"/>
    </row>
    <row r="20" spans="1:2">
      <c r="A20" s="34"/>
      <c r="B20" s="34"/>
    </row>
    <row r="21" spans="1:2">
      <c r="A21" s="34"/>
      <c r="B21" s="34"/>
    </row>
    <row r="22" spans="1:2">
      <c r="A22" s="34"/>
      <c r="B22" s="34"/>
    </row>
    <row r="23" spans="1:2">
      <c r="A23" s="34"/>
      <c r="B23" s="34"/>
    </row>
    <row r="24" spans="1:2">
      <c r="A24" s="34"/>
      <c r="B24" s="34"/>
    </row>
    <row r="25" spans="1:2">
      <c r="A25" s="34"/>
      <c r="B25" s="34"/>
    </row>
    <row r="26" spans="1:2">
      <c r="A26" s="34"/>
      <c r="B26" s="34"/>
    </row>
    <row r="27" spans="1:2">
      <c r="A27" s="34"/>
      <c r="B27" s="34"/>
    </row>
    <row r="28" spans="1:2">
      <c r="A28" s="34"/>
      <c r="B28" s="34"/>
    </row>
    <row r="29" spans="1:2">
      <c r="A29" s="34"/>
      <c r="B29" s="34"/>
    </row>
    <row r="30" spans="1:2">
      <c r="A30" s="34"/>
      <c r="B30" s="34"/>
    </row>
    <row r="31" spans="1:2">
      <c r="A31" s="34"/>
      <c r="B31" s="34"/>
    </row>
    <row r="32" spans="1:2">
      <c r="A32" s="34"/>
      <c r="B32" s="34"/>
    </row>
    <row r="33" spans="1:2">
      <c r="A33" s="34"/>
      <c r="B33" s="34"/>
    </row>
    <row r="34" spans="1:2">
      <c r="A34" s="34"/>
      <c r="B34" s="34"/>
    </row>
    <row r="35" spans="1:2">
      <c r="A35" s="34"/>
      <c r="B35" s="34"/>
    </row>
    <row r="36" spans="1:2">
      <c r="A36" s="34"/>
      <c r="B36" s="34"/>
    </row>
    <row r="37" spans="1:2">
      <c r="A37" s="34"/>
      <c r="B37" s="34"/>
    </row>
    <row r="38" spans="1:2">
      <c r="A38" s="34"/>
      <c r="B38" s="34"/>
    </row>
    <row r="39" spans="1:2">
      <c r="A39" s="34"/>
      <c r="B39" s="34"/>
    </row>
    <row r="40" spans="1:2">
      <c r="A40" s="34"/>
      <c r="B40" s="34"/>
    </row>
    <row r="41" spans="1:2">
      <c r="A41" s="34"/>
      <c r="B41" s="34"/>
    </row>
    <row r="42" spans="1:2">
      <c r="A42" s="34"/>
      <c r="B42" s="34"/>
    </row>
    <row r="43" spans="1:2">
      <c r="A43" s="34"/>
      <c r="B43" s="34"/>
    </row>
    <row r="44" spans="1:2">
      <c r="A44" s="34"/>
      <c r="B44" s="34"/>
    </row>
    <row r="45" spans="1:2">
      <c r="A45" s="34"/>
      <c r="B45" s="34"/>
    </row>
    <row r="46" spans="1:2">
      <c r="A46" s="34"/>
      <c r="B46" s="34"/>
    </row>
    <row r="47" spans="1:2">
      <c r="A47" s="34"/>
      <c r="B47" s="34"/>
    </row>
    <row r="48" spans="1:2">
      <c r="A48" s="34"/>
      <c r="B48" s="34"/>
    </row>
    <row r="49" spans="1:2">
      <c r="A49" s="34"/>
      <c r="B49" s="34"/>
    </row>
    <row r="50" spans="1:2">
      <c r="A50" s="34"/>
      <c r="B50" s="34"/>
    </row>
    <row r="51" spans="1:2">
      <c r="A51" s="34"/>
      <c r="B51" s="34"/>
    </row>
    <row r="52" spans="1:2">
      <c r="A52" s="34"/>
      <c r="B52" s="34"/>
    </row>
    <row r="53" spans="1:2">
      <c r="A53" s="34"/>
      <c r="B53" s="34"/>
    </row>
    <row r="54" spans="1:2">
      <c r="A54" s="34"/>
      <c r="B54" s="34"/>
    </row>
    <row r="55" spans="1:2">
      <c r="A55" s="34"/>
      <c r="B55" s="34"/>
    </row>
    <row r="56" spans="1:2">
      <c r="A56" s="34"/>
      <c r="B56" s="34"/>
    </row>
    <row r="57" spans="1:2">
      <c r="A57" s="34"/>
      <c r="B57" s="34"/>
    </row>
    <row r="58" spans="1:2">
      <c r="A58" s="34"/>
      <c r="B58" s="34"/>
    </row>
    <row r="59" spans="1:2">
      <c r="A59" s="34"/>
      <c r="B59" s="34"/>
    </row>
    <row r="60" spans="1:2">
      <c r="A60" s="34"/>
      <c r="B60" s="34"/>
    </row>
    <row r="61" spans="1:2">
      <c r="A61" s="34"/>
      <c r="B61" s="34"/>
    </row>
    <row r="62" spans="1:2">
      <c r="A62" s="34"/>
      <c r="B62" s="34"/>
    </row>
    <row r="63" spans="1:2">
      <c r="A63" s="34"/>
      <c r="B63" s="34"/>
    </row>
    <row r="64" spans="1:2">
      <c r="A64" s="34"/>
      <c r="B64" s="34"/>
    </row>
    <row r="65" spans="1:2">
      <c r="A65" s="34"/>
      <c r="B65" s="34"/>
    </row>
    <row r="66" spans="1:2">
      <c r="A66" s="34"/>
      <c r="B66" s="34"/>
    </row>
    <row r="67" spans="1:2">
      <c r="A67" s="34"/>
      <c r="B67" s="34"/>
    </row>
    <row r="68" spans="1:2">
      <c r="A68" s="34"/>
      <c r="B68" s="34"/>
    </row>
    <row r="69" spans="1:2">
      <c r="A69" s="34"/>
      <c r="B69" s="34"/>
    </row>
    <row r="70" spans="1:2">
      <c r="A70" s="34"/>
      <c r="B70" s="34"/>
    </row>
    <row r="71" spans="1:2">
      <c r="A71" s="34"/>
      <c r="B71" s="34"/>
    </row>
    <row r="72" spans="1:2">
      <c r="A72" s="34"/>
      <c r="B72" s="34"/>
    </row>
    <row r="73" spans="1:2">
      <c r="A73" s="34"/>
      <c r="B73" s="34"/>
    </row>
    <row r="74" spans="1:2">
      <c r="A74" s="34"/>
      <c r="B74" s="34"/>
    </row>
    <row r="75" spans="1:2">
      <c r="A75" s="34"/>
      <c r="B75" s="34"/>
    </row>
    <row r="76" spans="1:2">
      <c r="A76" s="34"/>
      <c r="B76" s="34"/>
    </row>
    <row r="77" spans="1:2">
      <c r="A77" s="34"/>
      <c r="B77" s="34"/>
    </row>
    <row r="78" spans="1:2">
      <c r="A78" s="34"/>
      <c r="B78" s="34"/>
    </row>
    <row r="79" spans="1:2">
      <c r="A79" s="34"/>
      <c r="B79" s="34"/>
    </row>
    <row r="80" spans="1:2">
      <c r="A80" s="34"/>
      <c r="B80" s="34"/>
    </row>
    <row r="81" spans="1:2">
      <c r="A81" s="34"/>
      <c r="B81" s="34"/>
    </row>
    <row r="82" spans="1:2">
      <c r="A82" s="34"/>
      <c r="B82" s="34"/>
    </row>
    <row r="83" spans="1:2">
      <c r="A83" s="34"/>
      <c r="B83" s="34"/>
    </row>
    <row r="84" spans="1:2">
      <c r="A84" s="34"/>
      <c r="B84" s="34"/>
    </row>
    <row r="85" spans="1:2">
      <c r="A85" s="34"/>
      <c r="B85" s="34"/>
    </row>
    <row r="86" spans="1:2">
      <c r="A86" s="34"/>
      <c r="B86" s="34"/>
    </row>
    <row r="87" spans="1:2">
      <c r="A87" s="34"/>
      <c r="B87" s="34"/>
    </row>
    <row r="88" spans="1:2">
      <c r="A88" s="34"/>
      <c r="B88" s="34"/>
    </row>
    <row r="89" spans="1:2">
      <c r="A89" s="34"/>
      <c r="B89" s="34"/>
    </row>
    <row r="90" spans="1:2">
      <c r="A90" s="34"/>
      <c r="B90" s="34"/>
    </row>
    <row r="91" spans="1:2">
      <c r="A91" s="34"/>
      <c r="B91" s="34"/>
    </row>
    <row r="92" spans="1:2">
      <c r="A92" s="34"/>
      <c r="B92" s="34"/>
    </row>
    <row r="93" spans="1:2">
      <c r="A93" s="34"/>
      <c r="B93" s="34"/>
    </row>
    <row r="94" spans="1:2">
      <c r="A94" s="34"/>
      <c r="B94" s="34"/>
    </row>
    <row r="95" spans="1:2">
      <c r="A95" s="34"/>
      <c r="B95" s="34"/>
    </row>
    <row r="96" spans="1:2">
      <c r="A96" s="34"/>
      <c r="B96" s="34"/>
    </row>
    <row r="97" spans="1:2">
      <c r="A97" s="34"/>
      <c r="B97" s="34"/>
    </row>
    <row r="98" spans="1:2">
      <c r="A98" s="34"/>
      <c r="B98" s="34"/>
    </row>
    <row r="99" spans="1:2">
      <c r="A99" s="34"/>
      <c r="B99" s="34"/>
    </row>
    <row r="100" spans="1:2">
      <c r="A100" s="34"/>
      <c r="B100" s="34"/>
    </row>
    <row r="101" spans="1:2">
      <c r="A101" s="34"/>
      <c r="B101" s="34"/>
    </row>
    <row r="102" spans="1:2">
      <c r="A102" s="34"/>
      <c r="B102" s="34"/>
    </row>
    <row r="103" spans="1:2">
      <c r="A103" s="34"/>
      <c r="B103" s="34"/>
    </row>
    <row r="104" spans="1:2">
      <c r="A104" s="34"/>
      <c r="B104" s="34"/>
    </row>
    <row r="105" spans="1:2">
      <c r="A105" s="34"/>
      <c r="B105" s="34"/>
    </row>
    <row r="106" spans="1:2">
      <c r="A106" s="34"/>
      <c r="B106" s="34"/>
    </row>
    <row r="107" spans="1:2">
      <c r="A107" s="34"/>
      <c r="B107" s="34"/>
    </row>
    <row r="108" spans="1:2">
      <c r="A108" s="34"/>
      <c r="B108" s="34"/>
    </row>
    <row r="109" spans="1:2">
      <c r="A109" s="34"/>
      <c r="B109" s="34"/>
    </row>
    <row r="110" spans="1:2">
      <c r="A110" s="34"/>
      <c r="B110" s="34"/>
    </row>
    <row r="111" spans="1:2">
      <c r="A111" s="34"/>
      <c r="B111" s="34"/>
    </row>
    <row r="112" spans="1:2">
      <c r="A112" s="34"/>
      <c r="B112" s="34"/>
    </row>
    <row r="113" spans="1:2">
      <c r="A113" s="34"/>
      <c r="B113" s="34"/>
    </row>
    <row r="114" spans="1:2">
      <c r="A114" s="34"/>
      <c r="B114" s="34"/>
    </row>
    <row r="115" spans="1:2">
      <c r="A115" s="34"/>
      <c r="B115" s="34"/>
    </row>
    <row r="116" spans="1:2">
      <c r="A116" s="34"/>
      <c r="B116" s="34"/>
    </row>
    <row r="117" spans="1:2">
      <c r="A117" s="34"/>
      <c r="B117" s="34"/>
    </row>
    <row r="118" spans="1:2">
      <c r="A118" s="34"/>
      <c r="B118" s="34"/>
    </row>
    <row r="119" spans="1:2">
      <c r="A119" s="34"/>
      <c r="B119" s="34"/>
    </row>
    <row r="120" spans="1:2">
      <c r="A120" s="34"/>
      <c r="B120" s="34"/>
    </row>
    <row r="121" spans="1:2">
      <c r="A121" s="34"/>
      <c r="B121" s="34"/>
    </row>
    <row r="122" spans="1:2">
      <c r="A122" s="34"/>
      <c r="B122" s="34"/>
    </row>
    <row r="123" spans="1:2">
      <c r="A123" s="34"/>
      <c r="B123" s="34"/>
    </row>
    <row r="124" spans="1:2">
      <c r="A124" s="34"/>
      <c r="B124" s="34"/>
    </row>
    <row r="125" spans="1:2">
      <c r="A125" s="34"/>
      <c r="B125" s="34"/>
    </row>
    <row r="126" spans="1:2">
      <c r="A126" s="34"/>
      <c r="B126" s="34"/>
    </row>
    <row r="127" spans="1:2">
      <c r="A127" s="34"/>
      <c r="B127" s="34"/>
    </row>
    <row r="128" spans="1:2">
      <c r="A128" s="34"/>
      <c r="B128" s="34"/>
    </row>
    <row r="129" spans="1:2">
      <c r="A129" s="34"/>
      <c r="B129" s="34"/>
    </row>
    <row r="130" spans="1:2">
      <c r="A130" s="34"/>
      <c r="B130" s="34"/>
    </row>
    <row r="131" spans="1:2">
      <c r="A131" s="34"/>
      <c r="B131" s="34"/>
    </row>
    <row r="132" spans="1:2">
      <c r="A132" s="34"/>
      <c r="B132" s="34"/>
    </row>
    <row r="133" spans="1:2">
      <c r="A133" s="34"/>
      <c r="B133" s="34"/>
    </row>
    <row r="134" spans="1:2">
      <c r="A134" s="34"/>
      <c r="B134" s="34"/>
    </row>
    <row r="135" spans="1:2">
      <c r="A135" s="34"/>
      <c r="B135" s="34"/>
    </row>
    <row r="136" spans="1:2">
      <c r="A136" s="34"/>
      <c r="B136" s="34"/>
    </row>
    <row r="137" spans="1:2">
      <c r="A137" s="34"/>
      <c r="B137" s="34"/>
    </row>
    <row r="138" spans="1:2">
      <c r="A138" s="34"/>
      <c r="B138" s="34"/>
    </row>
    <row r="139" spans="1:2">
      <c r="A139" s="34"/>
      <c r="B139" s="34"/>
    </row>
    <row r="140" spans="1:2">
      <c r="A140" s="34"/>
      <c r="B140" s="34"/>
    </row>
    <row r="141" spans="1:2">
      <c r="A141" s="34"/>
      <c r="B141" s="34"/>
    </row>
    <row r="142" spans="1:2">
      <c r="A142" s="34"/>
      <c r="B142" s="34"/>
    </row>
    <row r="143" spans="1:2">
      <c r="A143" s="34"/>
      <c r="B143" s="34"/>
    </row>
    <row r="144" spans="1:2">
      <c r="A144" s="34"/>
      <c r="B144" s="34"/>
    </row>
    <row r="145" spans="1:2">
      <c r="A145" s="34"/>
      <c r="B145" s="34"/>
    </row>
    <row r="146" spans="1:2">
      <c r="A146" s="34"/>
      <c r="B146" s="34"/>
    </row>
    <row r="147" spans="1:2">
      <c r="A147" s="34"/>
      <c r="B147" s="34"/>
    </row>
    <row r="148" spans="1:2">
      <c r="A148" s="34"/>
      <c r="B148" s="34"/>
    </row>
    <row r="149" spans="1:2">
      <c r="A149" s="34"/>
      <c r="B149" s="34"/>
    </row>
    <row r="150" spans="1:2">
      <c r="A150" s="34"/>
      <c r="B150" s="34"/>
    </row>
    <row r="151" spans="1:2">
      <c r="A151" s="34"/>
      <c r="B151" s="34"/>
    </row>
    <row r="152" spans="1:2">
      <c r="A152" s="34"/>
      <c r="B152" s="34"/>
    </row>
    <row r="153" spans="1:2">
      <c r="A153" s="34"/>
      <c r="B153" s="34"/>
    </row>
    <row r="154" spans="1:2">
      <c r="A154" s="34"/>
      <c r="B154" s="34"/>
    </row>
    <row r="155" spans="1:2">
      <c r="A155" s="34"/>
      <c r="B155" s="34"/>
    </row>
    <row r="156" spans="1:2">
      <c r="A156" s="34"/>
      <c r="B156" s="34"/>
    </row>
    <row r="157" spans="1:2">
      <c r="A157" s="34"/>
      <c r="B157" s="34"/>
    </row>
    <row r="158" spans="1:2">
      <c r="A158" s="34"/>
      <c r="B158" s="34"/>
    </row>
    <row r="159" spans="1:2">
      <c r="A159" s="34"/>
      <c r="B159" s="34"/>
    </row>
    <row r="160" spans="1:2">
      <c r="A160" s="34"/>
      <c r="B160" s="34"/>
    </row>
    <row r="161" spans="1:2">
      <c r="A161" s="34"/>
      <c r="B161" s="34"/>
    </row>
    <row r="162" spans="1:2">
      <c r="A162" s="34"/>
      <c r="B162" s="34"/>
    </row>
    <row r="163" spans="1:2">
      <c r="A163" s="34"/>
      <c r="B163" s="34"/>
    </row>
    <row r="164" spans="1:2">
      <c r="A164" s="34"/>
      <c r="B164" s="34"/>
    </row>
    <row r="165" spans="1:2">
      <c r="A165" s="34"/>
      <c r="B165" s="34"/>
    </row>
    <row r="166" spans="1:2">
      <c r="A166" s="34"/>
      <c r="B166" s="34"/>
    </row>
    <row r="167" spans="1:2">
      <c r="A167" s="34"/>
      <c r="B167" s="34"/>
    </row>
    <row r="168" spans="1:2">
      <c r="A168" s="34"/>
      <c r="B168" s="34"/>
    </row>
    <row r="169" spans="1:2">
      <c r="A169" s="34"/>
      <c r="B169" s="34"/>
    </row>
    <row r="170" spans="1:2">
      <c r="A170" s="34"/>
      <c r="B170" s="34"/>
    </row>
    <row r="171" spans="1:2">
      <c r="A171" s="34"/>
      <c r="B171" s="34"/>
    </row>
    <row r="172" spans="1:2">
      <c r="A172" s="34"/>
      <c r="B172" s="34"/>
    </row>
    <row r="173" spans="1:2">
      <c r="A173" s="34"/>
      <c r="B173" s="34"/>
    </row>
    <row r="174" spans="1:2">
      <c r="A174" s="34"/>
      <c r="B174" s="34"/>
    </row>
    <row r="175" spans="1:2">
      <c r="A175" s="34"/>
      <c r="B175" s="34"/>
    </row>
    <row r="176" spans="1:2">
      <c r="A176" s="34"/>
      <c r="B176" s="34"/>
    </row>
    <row r="177" spans="1:2">
      <c r="A177" s="34"/>
      <c r="B177" s="34"/>
    </row>
    <row r="178" spans="1:2">
      <c r="A178" s="34"/>
      <c r="B178" s="34"/>
    </row>
    <row r="179" spans="1:2">
      <c r="A179" s="34"/>
      <c r="B179" s="34"/>
    </row>
    <row r="180" spans="1:2">
      <c r="A180" s="34"/>
      <c r="B180" s="34"/>
    </row>
    <row r="181" spans="1:2">
      <c r="A181" s="34"/>
      <c r="B181" s="34"/>
    </row>
    <row r="182" spans="1:2">
      <c r="A182" s="34"/>
      <c r="B182" s="34"/>
    </row>
    <row r="183" spans="1:2">
      <c r="A183" s="34"/>
      <c r="B183" s="34"/>
    </row>
    <row r="184" spans="1:2">
      <c r="A184" s="34"/>
      <c r="B184" s="34"/>
    </row>
    <row r="185" spans="1:2">
      <c r="A185" s="34"/>
      <c r="B185" s="34"/>
    </row>
    <row r="186" spans="1:2">
      <c r="A186" s="34"/>
      <c r="B186" s="34"/>
    </row>
    <row r="187" spans="1:2">
      <c r="A187" s="34"/>
      <c r="B187" s="34"/>
    </row>
    <row r="188" spans="1:2">
      <c r="A188" s="34"/>
      <c r="B188" s="34"/>
    </row>
    <row r="189" spans="1:2">
      <c r="A189" s="34"/>
      <c r="B189" s="34"/>
    </row>
    <row r="190" spans="1:2">
      <c r="A190" s="34"/>
      <c r="B190" s="34"/>
    </row>
    <row r="191" spans="1:2">
      <c r="A191" s="34"/>
      <c r="B191" s="34"/>
    </row>
    <row r="192" spans="1:2">
      <c r="A192" s="34"/>
      <c r="B192" s="34"/>
    </row>
    <row r="193" spans="1:2">
      <c r="A193" s="34"/>
      <c r="B193" s="34"/>
    </row>
    <row r="194" spans="1:2">
      <c r="A194" s="34"/>
      <c r="B194" s="34"/>
    </row>
    <row r="195" spans="1:2">
      <c r="A195" s="34"/>
      <c r="B195" s="34"/>
    </row>
    <row r="196" spans="1:2">
      <c r="A196" s="34"/>
      <c r="B196" s="34"/>
    </row>
    <row r="197" spans="1:2">
      <c r="A197" s="34"/>
      <c r="B197" s="34"/>
    </row>
    <row r="198" spans="1:2">
      <c r="A198" s="34"/>
      <c r="B198" s="34"/>
    </row>
    <row r="199" spans="1:2">
      <c r="A199" s="34"/>
      <c r="B199" s="34"/>
    </row>
    <row r="200" spans="1:2">
      <c r="A200" s="34"/>
      <c r="B200" s="34"/>
    </row>
    <row r="201" spans="1:2">
      <c r="A201" s="34"/>
      <c r="B201" s="34"/>
    </row>
    <row r="202" spans="1:2">
      <c r="A202" s="34"/>
      <c r="B202" s="34"/>
    </row>
    <row r="203" spans="1:2">
      <c r="A203" s="34"/>
      <c r="B203" s="34"/>
    </row>
    <row r="204" spans="1:2">
      <c r="A204" s="34"/>
      <c r="B204" s="34"/>
    </row>
    <row r="205" spans="1:2">
      <c r="A205" s="34"/>
      <c r="B205" s="34"/>
    </row>
    <row r="206" spans="1:2">
      <c r="A206" s="34"/>
      <c r="B206" s="34"/>
    </row>
    <row r="207" spans="1:2">
      <c r="A207" s="34"/>
      <c r="B207" s="34"/>
    </row>
    <row r="208" spans="1:2">
      <c r="A208" s="34"/>
      <c r="B208" s="34"/>
    </row>
    <row r="209" spans="1:2">
      <c r="A209" s="34"/>
      <c r="B209" s="34"/>
    </row>
    <row r="210" spans="1:2">
      <c r="A210" s="34"/>
      <c r="B210" s="34"/>
    </row>
    <row r="211" spans="1:2">
      <c r="A211" s="34"/>
      <c r="B211" s="34"/>
    </row>
    <row r="212" spans="1:2">
      <c r="A212" s="34"/>
      <c r="B212" s="34"/>
    </row>
    <row r="213" spans="1:2">
      <c r="A213" s="34"/>
      <c r="B213" s="34"/>
    </row>
    <row r="214" spans="1:2">
      <c r="A214" s="34"/>
      <c r="B214" s="34"/>
    </row>
    <row r="215" spans="1:2">
      <c r="A215" s="34"/>
      <c r="B215" s="34"/>
    </row>
    <row r="216" spans="1:2">
      <c r="A216" s="34"/>
      <c r="B216" s="34"/>
    </row>
    <row r="217" spans="1:2">
      <c r="A217" s="34"/>
      <c r="B217" s="34"/>
    </row>
    <row r="218" spans="1:2">
      <c r="A218" s="34"/>
      <c r="B218" s="34"/>
    </row>
    <row r="219" spans="1:2">
      <c r="A219" s="34"/>
      <c r="B219" s="34"/>
    </row>
    <row r="220" spans="1:2">
      <c r="A220" s="34"/>
      <c r="B220" s="34"/>
    </row>
    <row r="221" spans="1:2">
      <c r="A221" s="34"/>
      <c r="B221" s="34"/>
    </row>
    <row r="222" spans="1:2">
      <c r="A222" s="34"/>
      <c r="B222" s="34"/>
    </row>
    <row r="223" spans="1:2">
      <c r="A223" s="34"/>
      <c r="B223" s="34"/>
    </row>
    <row r="224" spans="1:2">
      <c r="A224" s="34"/>
      <c r="B224" s="34"/>
    </row>
    <row r="225" spans="1:2">
      <c r="A225" s="34"/>
      <c r="B225" s="34"/>
    </row>
    <row r="226" spans="1:2">
      <c r="A226" s="34"/>
      <c r="B226" s="34"/>
    </row>
    <row r="227" spans="1:2">
      <c r="A227" s="34"/>
      <c r="B227" s="34"/>
    </row>
    <row r="228" spans="1:2">
      <c r="A228" s="34"/>
      <c r="B228" s="34"/>
    </row>
    <row r="229" spans="1:2">
      <c r="A229" s="34"/>
      <c r="B229" s="34"/>
    </row>
    <row r="230" spans="1:2">
      <c r="A230" s="34"/>
      <c r="B230" s="34"/>
    </row>
    <row r="231" spans="1:2">
      <c r="A231" s="34"/>
      <c r="B231" s="34"/>
    </row>
    <row r="232" spans="1:2">
      <c r="A232" s="34"/>
      <c r="B232" s="34"/>
    </row>
    <row r="233" spans="1:2">
      <c r="A233" s="34"/>
      <c r="B233" s="34"/>
    </row>
    <row r="234" spans="1:2">
      <c r="A234" s="34"/>
      <c r="B234" s="34"/>
    </row>
    <row r="235" spans="1:2">
      <c r="A235" s="34"/>
      <c r="B235" s="34"/>
    </row>
    <row r="236" spans="1:2">
      <c r="A236" s="34"/>
      <c r="B236" s="34"/>
    </row>
    <row r="237" spans="1:2">
      <c r="A237" s="34"/>
      <c r="B237" s="34"/>
    </row>
    <row r="238" spans="1:2">
      <c r="A238" s="34"/>
      <c r="B238" s="34"/>
    </row>
    <row r="239" spans="1:2">
      <c r="A239" s="34"/>
      <c r="B239" s="34"/>
    </row>
    <row r="240" spans="1:2">
      <c r="A240" s="34"/>
      <c r="B240" s="34"/>
    </row>
    <row r="241" spans="1:2">
      <c r="A241" s="34"/>
      <c r="B241" s="34"/>
    </row>
    <row r="242" spans="1:2">
      <c r="A242" s="34"/>
      <c r="B242" s="34"/>
    </row>
    <row r="243" spans="1:2">
      <c r="A243" s="34"/>
      <c r="B243" s="34"/>
    </row>
    <row r="244" spans="1:2">
      <c r="A244" s="34"/>
      <c r="B244" s="34"/>
    </row>
    <row r="245" spans="1:2">
      <c r="A245" s="34"/>
      <c r="B245" s="34"/>
    </row>
    <row r="246" spans="1:2">
      <c r="A246" s="34"/>
      <c r="B246" s="34"/>
    </row>
    <row r="247" spans="1:2">
      <c r="A247" s="34"/>
      <c r="B247" s="34"/>
    </row>
    <row r="248" spans="1:2">
      <c r="A248" s="34"/>
      <c r="B248" s="34"/>
    </row>
    <row r="249" spans="1:2">
      <c r="A249" s="34"/>
      <c r="B249" s="34"/>
    </row>
    <row r="250" spans="1:2">
      <c r="A250" s="34"/>
      <c r="B250" s="34"/>
    </row>
    <row r="251" spans="1:2">
      <c r="A251" s="34"/>
      <c r="B251" s="34"/>
    </row>
    <row r="252" spans="1:2">
      <c r="A252" s="34"/>
      <c r="B252" s="34"/>
    </row>
    <row r="253" spans="1:2">
      <c r="A253" s="34"/>
      <c r="B253" s="34"/>
    </row>
    <row r="254" spans="1:2">
      <c r="A254" s="34"/>
      <c r="B254" s="34"/>
    </row>
    <row r="255" spans="1:2">
      <c r="A255" s="34"/>
      <c r="B255" s="34"/>
    </row>
    <row r="256" spans="1:2">
      <c r="A256" s="34"/>
      <c r="B256" s="34"/>
    </row>
    <row r="257" spans="1:2">
      <c r="A257" s="34"/>
      <c r="B257" s="34"/>
    </row>
    <row r="258" spans="1:2">
      <c r="A258" s="34"/>
      <c r="B258" s="34"/>
    </row>
    <row r="259" spans="1:2">
      <c r="A259" s="34"/>
      <c r="B259" s="34"/>
    </row>
    <row r="260" spans="1:2">
      <c r="A260" s="34"/>
      <c r="B260" s="34"/>
    </row>
    <row r="261" spans="1:2">
      <c r="A261" s="34"/>
      <c r="B261" s="34"/>
    </row>
    <row r="262" spans="1:2">
      <c r="A262" s="34"/>
      <c r="B262" s="34"/>
    </row>
    <row r="263" spans="1:2">
      <c r="A263" s="34"/>
      <c r="B263" s="34"/>
    </row>
    <row r="264" spans="1:2">
      <c r="A264" s="34"/>
      <c r="B264" s="34"/>
    </row>
    <row r="265" spans="1:2">
      <c r="A265" s="34"/>
      <c r="B265" s="34"/>
    </row>
    <row r="266" spans="1:2">
      <c r="A266" s="34"/>
      <c r="B266" s="34"/>
    </row>
    <row r="267" spans="1:2">
      <c r="A267" s="34"/>
      <c r="B267" s="34"/>
    </row>
    <row r="268" spans="1:2">
      <c r="A268" s="34"/>
      <c r="B268" s="34"/>
    </row>
    <row r="269" spans="1:2">
      <c r="A269" s="34"/>
      <c r="B269" s="34"/>
    </row>
    <row r="270" spans="1:2">
      <c r="A270" s="34"/>
      <c r="B270" s="34"/>
    </row>
    <row r="271" spans="1:2">
      <c r="A271" s="34"/>
      <c r="B271" s="34"/>
    </row>
    <row r="272" spans="1:2">
      <c r="A272" s="34"/>
      <c r="B272" s="34"/>
    </row>
    <row r="273" spans="1:2">
      <c r="A273" s="34"/>
      <c r="B273" s="34"/>
    </row>
    <row r="274" spans="1:2">
      <c r="A274" s="34"/>
      <c r="B274" s="34"/>
    </row>
    <row r="275" spans="1:2">
      <c r="A275" s="34"/>
      <c r="B275" s="34"/>
    </row>
    <row r="276" spans="1:2">
      <c r="A276" s="34"/>
      <c r="B276" s="34"/>
    </row>
    <row r="277" spans="1:2">
      <c r="A277" s="34"/>
      <c r="B277" s="34"/>
    </row>
    <row r="278" spans="1:2">
      <c r="A278" s="34"/>
      <c r="B278" s="34"/>
    </row>
    <row r="279" spans="1:2">
      <c r="A279" s="34"/>
      <c r="B279" s="34"/>
    </row>
    <row r="280" spans="1:2">
      <c r="A280" s="34"/>
      <c r="B280" s="34"/>
    </row>
    <row r="281" spans="1:2">
      <c r="A281" s="34"/>
      <c r="B281" s="34"/>
    </row>
    <row r="282" spans="1:2">
      <c r="A282" s="34"/>
      <c r="B282" s="34"/>
    </row>
    <row r="283" spans="1:2">
      <c r="A283" s="34"/>
      <c r="B283" s="34"/>
    </row>
    <row r="284" spans="1:2">
      <c r="A284" s="34"/>
      <c r="B284" s="34"/>
    </row>
    <row r="285" spans="1:2">
      <c r="A285" s="34"/>
      <c r="B285" s="34"/>
    </row>
    <row r="286" spans="1:2">
      <c r="A286" s="34"/>
      <c r="B286" s="34"/>
    </row>
    <row r="287" spans="1:2">
      <c r="A287" s="34"/>
      <c r="B287" s="34"/>
    </row>
    <row r="288" spans="1:2">
      <c r="A288" s="34"/>
      <c r="B288" s="34"/>
    </row>
    <row r="289" spans="1:2">
      <c r="A289" s="34"/>
      <c r="B289" s="34"/>
    </row>
    <row r="290" spans="1:2">
      <c r="A290" s="34"/>
      <c r="B290" s="34"/>
    </row>
    <row r="291" spans="1:2">
      <c r="A291" s="34"/>
      <c r="B291" s="34"/>
    </row>
    <row r="292" spans="1:2">
      <c r="A292" s="34"/>
      <c r="B292" s="34"/>
    </row>
    <row r="293" spans="1:2">
      <c r="A293" s="34"/>
      <c r="B293" s="34"/>
    </row>
    <row r="294" spans="1:2">
      <c r="A294" s="34"/>
      <c r="B294" s="34"/>
    </row>
    <row r="295" spans="1:2">
      <c r="A295" s="34"/>
      <c r="B295" s="34"/>
    </row>
    <row r="296" spans="1:2">
      <c r="A296" s="34"/>
      <c r="B296" s="34"/>
    </row>
    <row r="297" spans="1:2">
      <c r="A297" s="34"/>
      <c r="B297" s="34"/>
    </row>
    <row r="298" spans="1:2">
      <c r="A298" s="34"/>
      <c r="B298" s="34"/>
    </row>
    <row r="299" spans="1:2">
      <c r="A299" s="34"/>
      <c r="B299" s="34"/>
    </row>
    <row r="300" spans="1:2">
      <c r="A300" s="34"/>
      <c r="B300" s="34"/>
    </row>
    <row r="301" spans="1:2">
      <c r="A301" s="34"/>
      <c r="B301" s="34"/>
    </row>
    <row r="302" spans="1:2">
      <c r="A302" s="34"/>
      <c r="B302" s="34"/>
    </row>
    <row r="303" spans="1:2">
      <c r="A303" s="34"/>
      <c r="B303" s="34"/>
    </row>
    <row r="304" spans="1:2">
      <c r="A304" s="34"/>
      <c r="B304" s="34"/>
    </row>
    <row r="305" spans="1:2">
      <c r="A305" s="34"/>
      <c r="B305" s="34"/>
    </row>
    <row r="306" spans="1:2">
      <c r="A306" s="34"/>
      <c r="B306" s="34"/>
    </row>
    <row r="307" spans="1:2">
      <c r="A307" s="34"/>
      <c r="B307" s="34"/>
    </row>
    <row r="308" spans="1:2">
      <c r="A308" s="34"/>
      <c r="B308" s="34"/>
    </row>
    <row r="309" spans="1:2">
      <c r="A309" s="34"/>
      <c r="B309" s="34"/>
    </row>
    <row r="310" spans="1:2">
      <c r="A310" s="34"/>
      <c r="B310" s="34"/>
    </row>
    <row r="311" spans="1:2">
      <c r="A311" s="34"/>
      <c r="B311" s="34"/>
    </row>
    <row r="312" spans="1:2">
      <c r="A312" s="34"/>
      <c r="B312" s="34"/>
    </row>
    <row r="313" spans="1:2">
      <c r="A313" s="34"/>
      <c r="B313" s="34"/>
    </row>
    <row r="314" spans="1:2">
      <c r="A314" s="34"/>
      <c r="B314" s="34"/>
    </row>
    <row r="315" spans="1:2">
      <c r="A315" s="34"/>
      <c r="B315" s="34"/>
    </row>
    <row r="316" spans="1:2">
      <c r="A316" s="34"/>
      <c r="B316" s="34"/>
    </row>
    <row r="317" spans="1:2">
      <c r="A317" s="34"/>
      <c r="B317" s="34"/>
    </row>
    <row r="318" spans="1:2">
      <c r="A318" s="34"/>
      <c r="B318" s="34"/>
    </row>
    <row r="319" spans="1:2">
      <c r="A319" s="34"/>
      <c r="B319" s="34"/>
    </row>
    <row r="320" spans="1:2">
      <c r="A320" s="34"/>
      <c r="B320" s="34"/>
    </row>
    <row r="321" spans="1:2">
      <c r="A321" s="34"/>
      <c r="B321" s="34"/>
    </row>
    <row r="322" spans="1:2">
      <c r="A322" s="34"/>
      <c r="B322" s="34"/>
    </row>
    <row r="323" spans="1:2">
      <c r="A323" s="34"/>
      <c r="B323" s="34"/>
    </row>
    <row r="324" spans="1:2">
      <c r="A324" s="34"/>
      <c r="B324" s="34"/>
    </row>
    <row r="325" spans="1:2">
      <c r="A325" s="34"/>
      <c r="B325" s="34"/>
    </row>
    <row r="326" spans="1:2">
      <c r="A326" s="34"/>
      <c r="B326" s="34"/>
    </row>
    <row r="327" spans="1:2">
      <c r="A327" s="34"/>
      <c r="B327" s="34"/>
    </row>
    <row r="328" spans="1:2">
      <c r="A328" s="34"/>
      <c r="B328" s="34"/>
    </row>
    <row r="329" spans="1:2">
      <c r="A329" s="34"/>
      <c r="B329" s="34"/>
    </row>
    <row r="330" spans="1:2">
      <c r="A330" s="34"/>
      <c r="B330" s="34"/>
    </row>
    <row r="331" spans="1:2">
      <c r="A331" s="34"/>
      <c r="B331" s="34"/>
    </row>
    <row r="332" spans="1:2">
      <c r="A332" s="34"/>
      <c r="B332" s="34"/>
    </row>
    <row r="333" spans="1:2">
      <c r="A333" s="34"/>
      <c r="B333" s="34"/>
    </row>
    <row r="334" spans="1:2">
      <c r="A334" s="34"/>
      <c r="B334" s="34"/>
    </row>
    <row r="335" spans="1:2">
      <c r="A335" s="34"/>
      <c r="B335" s="34"/>
    </row>
    <row r="336" spans="1:2">
      <c r="A336" s="34"/>
      <c r="B336" s="34"/>
    </row>
    <row r="337" spans="1:2">
      <c r="A337" s="34"/>
      <c r="B337" s="34"/>
    </row>
    <row r="338" spans="1:2">
      <c r="A338" s="34"/>
      <c r="B338" s="34"/>
    </row>
    <row r="339" spans="1:2">
      <c r="A339" s="34"/>
      <c r="B339" s="34"/>
    </row>
    <row r="340" spans="1:2">
      <c r="A340" s="34"/>
      <c r="B340" s="34"/>
    </row>
    <row r="341" spans="1:2">
      <c r="A341" s="34"/>
      <c r="B341" s="34"/>
    </row>
    <row r="342" spans="1:2">
      <c r="A342" s="34"/>
      <c r="B342" s="34"/>
    </row>
    <row r="343" spans="1:2">
      <c r="A343" s="34"/>
      <c r="B343" s="34"/>
    </row>
    <row r="344" spans="1:2">
      <c r="A344" s="34"/>
      <c r="B344" s="34"/>
    </row>
    <row r="345" spans="1:2">
      <c r="A345" s="34"/>
      <c r="B345" s="34"/>
    </row>
    <row r="346" spans="1:2">
      <c r="A346" s="34"/>
      <c r="B346" s="34"/>
    </row>
    <row r="347" spans="1:2">
      <c r="A347" s="34"/>
      <c r="B347" s="34"/>
    </row>
    <row r="348" spans="1:2">
      <c r="A348" s="34"/>
      <c r="B348" s="34"/>
    </row>
    <row r="349" spans="1:2">
      <c r="A349" s="34"/>
      <c r="B349" s="34"/>
    </row>
    <row r="350" spans="1:2">
      <c r="A350" s="34"/>
      <c r="B350" s="34"/>
    </row>
    <row r="351" spans="1:2">
      <c r="A351" s="34"/>
      <c r="B351" s="34"/>
    </row>
    <row r="352" spans="1:2">
      <c r="A352" s="34"/>
      <c r="B352" s="34"/>
    </row>
    <row r="353" spans="1:2">
      <c r="A353" s="34"/>
      <c r="B353" s="34"/>
    </row>
    <row r="354" spans="1:2">
      <c r="A354" s="34"/>
      <c r="B354" s="34"/>
    </row>
    <row r="355" spans="1:2">
      <c r="A355" s="34"/>
      <c r="B355" s="34"/>
    </row>
    <row r="356" spans="1:2">
      <c r="A356" s="34"/>
      <c r="B356" s="34"/>
    </row>
    <row r="357" spans="1:2">
      <c r="A357" s="34"/>
      <c r="B357" s="34"/>
    </row>
    <row r="358" spans="1:2">
      <c r="A358" s="34"/>
      <c r="B358" s="34"/>
    </row>
    <row r="359" spans="1:2">
      <c r="A359" s="34"/>
      <c r="B359" s="34"/>
    </row>
    <row r="360" spans="1:2">
      <c r="A360" s="34"/>
      <c r="B360" s="34"/>
    </row>
    <row r="361" spans="1:2">
      <c r="A361" s="34"/>
      <c r="B361" s="34"/>
    </row>
    <row r="362" spans="1:2">
      <c r="A362" s="34"/>
      <c r="B362" s="34"/>
    </row>
    <row r="363" spans="1:2">
      <c r="A363" s="34"/>
      <c r="B363" s="34"/>
    </row>
    <row r="364" spans="1:2">
      <c r="A364" s="34"/>
      <c r="B364" s="34"/>
    </row>
    <row r="365" spans="1:2">
      <c r="A365" s="34"/>
      <c r="B365" s="34"/>
    </row>
    <row r="366" spans="1:2">
      <c r="A366" s="34"/>
      <c r="B366" s="34"/>
    </row>
    <row r="367" spans="1:2">
      <c r="A367" s="34"/>
      <c r="B367" s="34"/>
    </row>
    <row r="368" spans="1:2">
      <c r="A368" s="34"/>
      <c r="B368" s="34"/>
    </row>
    <row r="369" spans="1:2">
      <c r="A369" s="34"/>
      <c r="B369" s="34"/>
    </row>
    <row r="370" spans="1:2">
      <c r="A370" s="34"/>
      <c r="B370" s="34"/>
    </row>
    <row r="371" spans="1:2">
      <c r="A371" s="34"/>
      <c r="B371" s="34"/>
    </row>
    <row r="372" spans="1:2">
      <c r="A372" s="34"/>
      <c r="B372" s="34"/>
    </row>
    <row r="373" spans="1:2">
      <c r="A373" s="34"/>
      <c r="B373" s="34"/>
    </row>
    <row r="374" spans="1:2">
      <c r="A374" s="34"/>
      <c r="B374" s="34"/>
    </row>
    <row r="375" spans="1:2">
      <c r="A375" s="34"/>
      <c r="B375" s="34"/>
    </row>
    <row r="376" spans="1:2">
      <c r="A376" s="34"/>
      <c r="B376" s="34"/>
    </row>
    <row r="377" spans="1:2">
      <c r="A377" s="34"/>
      <c r="B377" s="34"/>
    </row>
    <row r="378" spans="1:2">
      <c r="A378" s="34"/>
      <c r="B378" s="34"/>
    </row>
    <row r="379" spans="1:2">
      <c r="A379" s="34"/>
      <c r="B379" s="34"/>
    </row>
    <row r="380" spans="1:2">
      <c r="A380" s="34"/>
      <c r="B380" s="34"/>
    </row>
    <row r="381" spans="1:2">
      <c r="A381" s="34"/>
      <c r="B381" s="34"/>
    </row>
    <row r="382" spans="1:2">
      <c r="A382" s="34"/>
      <c r="B382" s="34"/>
    </row>
    <row r="383" spans="1:2">
      <c r="A383" s="34"/>
      <c r="B383" s="34"/>
    </row>
    <row r="384" spans="1:2">
      <c r="A384" s="34"/>
      <c r="B384" s="34"/>
    </row>
    <row r="385" spans="1:2">
      <c r="A385" s="34"/>
      <c r="B385" s="34"/>
    </row>
    <row r="386" spans="1:2">
      <c r="A386" s="34"/>
      <c r="B386" s="34"/>
    </row>
    <row r="387" spans="1:2">
      <c r="A387" s="34"/>
      <c r="B387" s="34"/>
    </row>
    <row r="388" spans="1:2">
      <c r="A388" s="34"/>
      <c r="B388" s="34"/>
    </row>
    <row r="389" spans="1:2">
      <c r="A389" s="34"/>
      <c r="B389" s="34"/>
    </row>
    <row r="390" spans="1:2">
      <c r="A390" s="34"/>
      <c r="B390" s="34"/>
    </row>
    <row r="391" spans="1:2">
      <c r="A391" s="34"/>
      <c r="B391" s="34"/>
    </row>
    <row r="392" spans="1:2">
      <c r="A392" s="34"/>
      <c r="B392" s="34"/>
    </row>
    <row r="393" spans="1:2">
      <c r="A393" s="34"/>
      <c r="B393" s="34"/>
    </row>
    <row r="394" spans="1:2">
      <c r="A394" s="34"/>
      <c r="B394" s="34"/>
    </row>
    <row r="395" spans="1:2">
      <c r="A395" s="34"/>
      <c r="B395" s="34"/>
    </row>
    <row r="396" spans="1:2">
      <c r="A396" s="34"/>
      <c r="B396" s="34"/>
    </row>
    <row r="397" spans="1:2">
      <c r="A397" s="34"/>
      <c r="B397" s="34"/>
    </row>
    <row r="398" spans="1:2">
      <c r="A398" s="34"/>
      <c r="B398" s="34"/>
    </row>
    <row r="399" spans="1:2">
      <c r="A399" s="34"/>
      <c r="B399" s="34"/>
    </row>
    <row r="400" spans="1:2">
      <c r="A400" s="34"/>
      <c r="B400" s="34"/>
    </row>
    <row r="401" spans="1:2">
      <c r="A401" s="34"/>
      <c r="B401" s="34"/>
    </row>
    <row r="402" spans="1:2">
      <c r="A402" s="34"/>
      <c r="B402" s="34"/>
    </row>
    <row r="403" spans="1:2">
      <c r="A403" s="34"/>
      <c r="B403" s="34"/>
    </row>
    <row r="404" spans="1:2">
      <c r="A404" s="34"/>
      <c r="B404" s="34"/>
    </row>
    <row r="405" spans="1:2">
      <c r="A405" s="34"/>
      <c r="B405" s="34"/>
    </row>
    <row r="406" spans="1:2">
      <c r="A406" s="34"/>
      <c r="B406" s="34"/>
    </row>
    <row r="407" spans="1:2">
      <c r="A407" s="34"/>
      <c r="B407" s="34"/>
    </row>
    <row r="408" spans="1:2">
      <c r="A408" s="34"/>
      <c r="B408" s="34"/>
    </row>
    <row r="409" spans="1:2">
      <c r="A409" s="34"/>
      <c r="B409" s="34"/>
    </row>
    <row r="410" spans="1:2">
      <c r="A410" s="34"/>
      <c r="B410" s="34"/>
    </row>
    <row r="411" spans="1:2">
      <c r="A411" s="34"/>
      <c r="B411" s="34"/>
    </row>
    <row r="412" spans="1:2">
      <c r="A412" s="34"/>
      <c r="B412" s="34"/>
    </row>
    <row r="413" spans="1:2">
      <c r="A413" s="34"/>
      <c r="B413" s="34"/>
    </row>
    <row r="414" spans="1:2">
      <c r="A414" s="34"/>
      <c r="B414" s="34"/>
    </row>
    <row r="415" spans="1:2">
      <c r="A415" s="34"/>
      <c r="B415" s="34"/>
    </row>
    <row r="416" spans="1:2">
      <c r="A416" s="34"/>
      <c r="B416" s="34"/>
    </row>
    <row r="417" spans="1:2">
      <c r="A417" s="34"/>
      <c r="B417" s="34"/>
    </row>
    <row r="418" spans="1:2">
      <c r="A418" s="34"/>
      <c r="B418" s="34"/>
    </row>
    <row r="419" spans="1:2">
      <c r="A419" s="34"/>
      <c r="B419" s="34"/>
    </row>
    <row r="420" spans="1:2">
      <c r="A420" s="34"/>
      <c r="B420" s="34"/>
    </row>
    <row r="421" spans="1:2">
      <c r="A421" s="34"/>
      <c r="B421" s="34"/>
    </row>
    <row r="422" spans="1:2">
      <c r="A422" s="34"/>
      <c r="B422" s="34"/>
    </row>
    <row r="423" spans="1:2">
      <c r="A423" s="34"/>
      <c r="B423" s="34"/>
    </row>
    <row r="424" spans="1:2">
      <c r="A424" s="34"/>
      <c r="B424" s="34"/>
    </row>
    <row r="425" spans="1:2">
      <c r="A425" s="34"/>
      <c r="B425" s="34"/>
    </row>
    <row r="426" spans="1:2">
      <c r="A426" s="34"/>
      <c r="B426" s="34"/>
    </row>
    <row r="427" spans="1:2">
      <c r="A427" s="34"/>
      <c r="B427" s="34"/>
    </row>
    <row r="428" spans="1:2">
      <c r="A428" s="34"/>
      <c r="B428" s="34"/>
    </row>
    <row r="429" spans="1:2">
      <c r="A429" s="34"/>
      <c r="B429" s="34"/>
    </row>
    <row r="430" spans="1:2">
      <c r="A430" s="34"/>
      <c r="B430" s="34"/>
    </row>
    <row r="431" spans="1:2">
      <c r="A431" s="34"/>
      <c r="B431" s="34"/>
    </row>
    <row r="432" spans="1:2">
      <c r="A432" s="34"/>
      <c r="B432" s="34"/>
    </row>
    <row r="433" spans="1:2">
      <c r="A433" s="34"/>
      <c r="B433" s="34"/>
    </row>
    <row r="434" spans="1:2">
      <c r="A434" s="34"/>
      <c r="B434" s="34"/>
    </row>
    <row r="435" spans="1:2">
      <c r="A435" s="34"/>
      <c r="B435" s="34"/>
    </row>
    <row r="436" spans="1:2">
      <c r="A436" s="34"/>
      <c r="B436" s="34"/>
    </row>
    <row r="437" spans="1:2">
      <c r="A437" s="34"/>
      <c r="B437" s="34"/>
    </row>
    <row r="438" spans="1:2">
      <c r="A438" s="34"/>
      <c r="B438" s="34"/>
    </row>
    <row r="439" spans="1:2">
      <c r="A439" s="34"/>
      <c r="B439" s="34"/>
    </row>
    <row r="440" spans="1:2">
      <c r="A440" s="34"/>
      <c r="B440" s="34"/>
    </row>
    <row r="441" spans="1:2">
      <c r="A441" s="34"/>
      <c r="B441" s="34"/>
    </row>
    <row r="442" spans="1:2">
      <c r="A442" s="34"/>
      <c r="B442" s="34"/>
    </row>
    <row r="443" spans="1:2">
      <c r="A443" s="34"/>
      <c r="B443" s="34"/>
    </row>
    <row r="444" spans="1:2">
      <c r="A444" s="34"/>
      <c r="B444" s="34"/>
    </row>
    <row r="445" spans="1:2">
      <c r="A445" s="34"/>
      <c r="B445" s="34"/>
    </row>
    <row r="446" spans="1:2">
      <c r="A446" s="34"/>
      <c r="B446" s="34"/>
    </row>
    <row r="447" spans="1:2">
      <c r="A447" s="34"/>
      <c r="B447" s="34"/>
    </row>
    <row r="448" spans="1:2">
      <c r="A448" s="34"/>
      <c r="B448" s="34"/>
    </row>
    <row r="449" spans="1:2">
      <c r="A449" s="34"/>
      <c r="B449" s="34"/>
    </row>
    <row r="450" spans="1:2">
      <c r="A450" s="34"/>
      <c r="B450" s="34"/>
    </row>
    <row r="451" spans="1:2">
      <c r="A451" s="34"/>
      <c r="B451" s="34"/>
    </row>
    <row r="452" spans="1:2">
      <c r="A452" s="34"/>
      <c r="B452" s="34"/>
    </row>
    <row r="453" spans="1:2">
      <c r="A453" s="34"/>
      <c r="B453" s="34"/>
    </row>
    <row r="454" spans="1:2">
      <c r="A454" s="34"/>
      <c r="B454" s="34"/>
    </row>
    <row r="455" spans="1:2">
      <c r="A455" s="34"/>
      <c r="B455" s="34"/>
    </row>
    <row r="456" spans="1:2">
      <c r="A456" s="34"/>
      <c r="B456" s="34"/>
    </row>
    <row r="457" spans="1:2">
      <c r="A457" s="34"/>
      <c r="B457" s="34"/>
    </row>
    <row r="458" spans="1:2">
      <c r="A458" s="34"/>
      <c r="B458" s="34"/>
    </row>
    <row r="459" spans="1:2">
      <c r="A459" s="34"/>
      <c r="B459" s="34"/>
    </row>
    <row r="460" spans="1:2">
      <c r="A460" s="34"/>
      <c r="B460" s="34"/>
    </row>
    <row r="461" spans="1:2">
      <c r="A461" s="34"/>
      <c r="B461" s="34"/>
    </row>
    <row r="462" spans="1:2">
      <c r="A462" s="34"/>
      <c r="B462" s="34"/>
    </row>
    <row r="463" spans="1:2">
      <c r="A463" s="34"/>
      <c r="B463" s="34"/>
    </row>
    <row r="464" spans="1:2">
      <c r="A464" s="34"/>
      <c r="B464" s="34"/>
    </row>
    <row r="465" spans="1:2">
      <c r="A465" s="34"/>
      <c r="B465" s="34"/>
    </row>
    <row r="466" spans="1:2">
      <c r="A466" s="34"/>
      <c r="B466" s="34"/>
    </row>
    <row r="467" spans="1:2">
      <c r="A467" s="34"/>
      <c r="B467" s="34"/>
    </row>
    <row r="468" spans="1:2">
      <c r="A468" s="34"/>
      <c r="B468" s="34"/>
    </row>
    <row r="469" spans="1:2">
      <c r="A469" s="34"/>
      <c r="B469" s="34"/>
    </row>
    <row r="470" spans="1:2">
      <c r="A470" s="34"/>
      <c r="B470" s="34"/>
    </row>
    <row r="471" spans="1:2">
      <c r="A471" s="34"/>
      <c r="B471" s="34"/>
    </row>
    <row r="472" spans="1:2">
      <c r="A472" s="34"/>
      <c r="B472" s="34"/>
    </row>
    <row r="473" spans="1:2">
      <c r="A473" s="34"/>
      <c r="B473" s="34"/>
    </row>
    <row r="474" spans="1:2">
      <c r="A474" s="34"/>
      <c r="B474" s="34"/>
    </row>
    <row r="475" spans="1:2">
      <c r="A475" s="34"/>
      <c r="B475" s="34"/>
    </row>
    <row r="476" spans="1:2">
      <c r="A476" s="34"/>
      <c r="B476" s="34"/>
    </row>
    <row r="477" spans="1:2">
      <c r="A477" s="34"/>
      <c r="B477" s="34"/>
    </row>
    <row r="478" spans="1:2">
      <c r="A478" s="34"/>
      <c r="B478" s="34"/>
    </row>
    <row r="479" spans="1:2">
      <c r="A479" s="34"/>
      <c r="B479" s="34"/>
    </row>
    <row r="480" spans="1:2">
      <c r="A480" s="34"/>
      <c r="B480" s="34"/>
    </row>
    <row r="481" spans="1:2">
      <c r="A481" s="34"/>
      <c r="B481" s="34"/>
    </row>
    <row r="482" spans="1:2">
      <c r="A482" s="34"/>
      <c r="B482" s="34"/>
    </row>
    <row r="483" spans="1:2">
      <c r="A483" s="34"/>
      <c r="B483" s="34"/>
    </row>
    <row r="484" spans="1:2">
      <c r="A484" s="34"/>
      <c r="B484" s="34"/>
    </row>
    <row r="485" spans="1:2">
      <c r="A485" s="34"/>
      <c r="B485" s="34"/>
    </row>
    <row r="486" spans="1:2">
      <c r="A486" s="34"/>
      <c r="B486" s="34"/>
    </row>
    <row r="487" spans="1:2">
      <c r="A487" s="34"/>
      <c r="B487" s="34"/>
    </row>
    <row r="488" spans="1:2">
      <c r="A488" s="34"/>
      <c r="B488" s="34"/>
    </row>
    <row r="489" spans="1:2">
      <c r="A489" s="34"/>
      <c r="B489" s="34"/>
    </row>
    <row r="490" spans="1:2">
      <c r="A490" s="34"/>
      <c r="B490" s="34"/>
    </row>
    <row r="491" spans="1:2">
      <c r="A491" s="34"/>
      <c r="B491" s="34"/>
    </row>
    <row r="492" spans="1:2">
      <c r="A492" s="34"/>
      <c r="B492" s="34"/>
    </row>
    <row r="493" spans="1:2">
      <c r="A493" s="34"/>
      <c r="B493" s="34"/>
    </row>
    <row r="494" spans="1:2">
      <c r="A494" s="34"/>
      <c r="B494" s="34"/>
    </row>
    <row r="495" spans="1:2">
      <c r="A495" s="34"/>
      <c r="B495" s="34"/>
    </row>
    <row r="496" spans="1:2">
      <c r="A496" s="34"/>
      <c r="B496" s="34"/>
    </row>
    <row r="497" spans="1:2">
      <c r="A497" s="34"/>
      <c r="B497" s="34"/>
    </row>
    <row r="498" spans="1:2">
      <c r="A498" s="34"/>
      <c r="B498" s="34"/>
    </row>
    <row r="499" spans="1:2">
      <c r="A499" s="34"/>
      <c r="B499" s="34"/>
    </row>
    <row r="500" spans="1:2">
      <c r="A500" s="34"/>
      <c r="B500" s="34"/>
    </row>
    <row r="501" spans="1:2">
      <c r="A501" s="34"/>
      <c r="B501" s="34"/>
    </row>
    <row r="502" spans="1:2">
      <c r="A502" s="34"/>
      <c r="B502" s="34"/>
    </row>
    <row r="503" spans="1:2">
      <c r="A503" s="34"/>
      <c r="B503" s="34"/>
    </row>
    <row r="504" spans="1:2">
      <c r="A504" s="34"/>
      <c r="B504" s="34"/>
    </row>
    <row r="505" spans="1:2">
      <c r="A505" s="34"/>
      <c r="B505" s="34"/>
    </row>
    <row r="506" spans="1:2">
      <c r="A506" s="34"/>
      <c r="B506" s="34"/>
    </row>
    <row r="507" spans="1:2">
      <c r="A507" s="34"/>
      <c r="B507" s="34"/>
    </row>
    <row r="508" spans="1:2">
      <c r="A508" s="34"/>
      <c r="B508" s="34"/>
    </row>
    <row r="509" spans="1:2">
      <c r="A509" s="34"/>
      <c r="B509" s="34"/>
    </row>
    <row r="510" spans="1:2">
      <c r="A510" s="34"/>
      <c r="B510" s="34"/>
    </row>
    <row r="511" spans="1:2">
      <c r="A511" s="34"/>
      <c r="B511" s="34"/>
    </row>
    <row r="512" spans="1:2">
      <c r="A512" s="34"/>
      <c r="B512" s="34"/>
    </row>
    <row r="513" spans="1:2">
      <c r="A513" s="34"/>
      <c r="B513" s="34"/>
    </row>
    <row r="514" spans="1:2">
      <c r="A514" s="34"/>
      <c r="B514" s="34"/>
    </row>
    <row r="515" spans="1:2">
      <c r="A515" s="34"/>
      <c r="B515" s="34"/>
    </row>
    <row r="516" spans="1:2">
      <c r="A516" s="34"/>
      <c r="B516" s="34"/>
    </row>
    <row r="517" spans="1:2">
      <c r="A517" s="34"/>
      <c r="B517" s="34"/>
    </row>
    <row r="518" spans="1:2">
      <c r="A518" s="34"/>
      <c r="B518" s="34"/>
    </row>
    <row r="519" spans="1:2">
      <c r="A519" s="34"/>
      <c r="B519" s="34"/>
    </row>
    <row r="520" spans="1:2">
      <c r="A520" s="34"/>
      <c r="B520" s="34"/>
    </row>
    <row r="521" spans="1:2">
      <c r="A521" s="34"/>
      <c r="B521" s="34"/>
    </row>
    <row r="522" spans="1:2">
      <c r="A522" s="34"/>
      <c r="B522" s="34"/>
    </row>
    <row r="523" spans="1:2">
      <c r="A523" s="34"/>
      <c r="B523" s="34"/>
    </row>
    <row r="524" spans="1:2">
      <c r="A524" s="34"/>
      <c r="B524" s="34"/>
    </row>
    <row r="525" spans="1:2">
      <c r="A525" s="34"/>
      <c r="B525" s="34"/>
    </row>
    <row r="526" spans="1:2">
      <c r="A526" s="34"/>
      <c r="B526" s="34"/>
    </row>
    <row r="527" spans="1:2">
      <c r="A527" s="34"/>
      <c r="B527" s="34"/>
    </row>
    <row r="528" spans="1:2">
      <c r="A528" s="34"/>
      <c r="B528" s="34"/>
    </row>
    <row r="529" spans="1:2">
      <c r="A529" s="34"/>
      <c r="B529" s="34"/>
    </row>
    <row r="530" spans="1:2">
      <c r="A530" s="34"/>
      <c r="B530" s="34"/>
    </row>
    <row r="531" spans="1:2">
      <c r="A531" s="34"/>
      <c r="B531" s="34"/>
    </row>
    <row r="532" spans="1:2">
      <c r="A532" s="34"/>
      <c r="B532" s="34"/>
    </row>
    <row r="533" spans="1:2">
      <c r="A533" s="34"/>
      <c r="B533" s="34"/>
    </row>
    <row r="534" spans="1:2">
      <c r="A534" s="34"/>
      <c r="B534" s="34"/>
    </row>
    <row r="535" spans="1:2">
      <c r="A535" s="34"/>
      <c r="B535" s="34"/>
    </row>
    <row r="536" spans="1:2">
      <c r="A536" s="34"/>
      <c r="B536" s="34"/>
    </row>
    <row r="537" spans="1:2">
      <c r="A537" s="34"/>
      <c r="B537" s="34"/>
    </row>
    <row r="538" spans="1:2">
      <c r="A538" s="34"/>
      <c r="B538" s="34"/>
    </row>
    <row r="539" spans="1:2">
      <c r="A539" s="34"/>
      <c r="B539" s="34"/>
    </row>
    <row r="540" spans="1:2">
      <c r="A540" s="34"/>
      <c r="B540" s="34"/>
    </row>
    <row r="541" spans="1:2">
      <c r="A541" s="34"/>
      <c r="B541" s="34"/>
    </row>
    <row r="542" spans="1:2">
      <c r="A542" s="34"/>
      <c r="B542" s="34"/>
    </row>
    <row r="543" spans="1:2">
      <c r="A543" s="34"/>
      <c r="B543" s="34"/>
    </row>
    <row r="544" spans="1:2">
      <c r="A544" s="34"/>
      <c r="B544" s="34"/>
    </row>
    <row r="545" spans="1:2">
      <c r="A545" s="34"/>
      <c r="B545" s="34"/>
    </row>
    <row r="546" spans="1:2">
      <c r="A546" s="34"/>
      <c r="B546" s="34"/>
    </row>
    <row r="547" spans="1:2">
      <c r="A547" s="34"/>
      <c r="B547" s="34"/>
    </row>
    <row r="548" spans="1:2">
      <c r="A548" s="34"/>
      <c r="B548" s="34"/>
    </row>
    <row r="549" spans="1:2">
      <c r="A549" s="34"/>
      <c r="B549" s="34"/>
    </row>
    <row r="550" spans="1:2">
      <c r="A550" s="34"/>
      <c r="B550" s="34"/>
    </row>
    <row r="551" spans="1:2">
      <c r="A551" s="34"/>
      <c r="B551" s="34"/>
    </row>
    <row r="552" spans="1:2">
      <c r="A552" s="34"/>
      <c r="B552" s="34"/>
    </row>
    <row r="553" spans="1:2">
      <c r="A553" s="34"/>
      <c r="B553" s="34"/>
    </row>
    <row r="554" spans="1:2">
      <c r="A554" s="34"/>
      <c r="B554" s="34"/>
    </row>
    <row r="555" spans="1:2">
      <c r="A555" s="34"/>
      <c r="B555" s="34"/>
    </row>
    <row r="556" spans="1:2">
      <c r="A556" s="34"/>
      <c r="B556" s="34"/>
    </row>
    <row r="557" spans="1:2">
      <c r="A557" s="34"/>
      <c r="B557" s="34"/>
    </row>
    <row r="558" spans="1:2">
      <c r="A558" s="34"/>
      <c r="B558" s="34"/>
    </row>
    <row r="559" spans="1:2">
      <c r="A559" s="34"/>
      <c r="B559" s="34"/>
    </row>
    <row r="560" spans="1:2">
      <c r="A560" s="34"/>
      <c r="B560" s="34"/>
    </row>
    <row r="561" spans="1:2">
      <c r="A561" s="34"/>
      <c r="B561" s="34"/>
    </row>
    <row r="562" spans="1:2">
      <c r="A562" s="34"/>
      <c r="B562" s="34"/>
    </row>
    <row r="563" spans="1:2">
      <c r="A563" s="34"/>
      <c r="B563" s="34"/>
    </row>
    <row r="564" spans="1:2">
      <c r="A564" s="34"/>
      <c r="B564" s="34"/>
    </row>
    <row r="565" spans="1:2">
      <c r="A565" s="34"/>
      <c r="B565" s="34"/>
    </row>
    <row r="566" spans="1:2">
      <c r="A566" s="34"/>
      <c r="B566" s="34"/>
    </row>
    <row r="567" spans="1:2">
      <c r="A567" s="34"/>
      <c r="B567" s="34"/>
    </row>
    <row r="568" spans="1:2">
      <c r="A568" s="34"/>
      <c r="B568" s="34"/>
    </row>
    <row r="569" spans="1:2">
      <c r="A569" s="34"/>
      <c r="B569" s="34"/>
    </row>
    <row r="570" spans="1:2">
      <c r="A570" s="34"/>
      <c r="B570" s="34"/>
    </row>
    <row r="571" spans="1:2">
      <c r="A571" s="34"/>
      <c r="B571" s="34"/>
    </row>
    <row r="572" spans="1:2">
      <c r="A572" s="34"/>
      <c r="B572" s="34"/>
    </row>
    <row r="573" spans="1:2">
      <c r="A573" s="34"/>
      <c r="B573" s="34"/>
    </row>
    <row r="574" spans="1:2">
      <c r="A574" s="34"/>
      <c r="B574" s="34"/>
    </row>
    <row r="575" spans="1:2">
      <c r="A575" s="34"/>
      <c r="B575" s="34"/>
    </row>
    <row r="576" spans="1:2">
      <c r="A576" s="34"/>
      <c r="B576" s="34"/>
    </row>
    <row r="577" spans="1:2">
      <c r="A577" s="34"/>
      <c r="B577" s="34"/>
    </row>
    <row r="578" spans="1:2">
      <c r="A578" s="34"/>
      <c r="B578" s="34"/>
    </row>
    <row r="579" spans="1:2">
      <c r="A579" s="34"/>
      <c r="B579" s="34"/>
    </row>
    <row r="580" spans="1:2">
      <c r="A580" s="34"/>
      <c r="B580" s="34"/>
    </row>
    <row r="581" spans="1:2">
      <c r="A581" s="34"/>
      <c r="B581" s="34"/>
    </row>
    <row r="582" spans="1:2">
      <c r="A582" s="34"/>
      <c r="B582" s="34"/>
    </row>
    <row r="583" spans="1:2">
      <c r="A583" s="34"/>
      <c r="B583" s="34"/>
    </row>
    <row r="584" spans="1:2">
      <c r="A584" s="34"/>
      <c r="B584" s="34"/>
    </row>
    <row r="585" spans="1:2">
      <c r="A585" s="34"/>
      <c r="B585" s="34"/>
    </row>
    <row r="586" spans="1:2">
      <c r="A586" s="34"/>
      <c r="B586" s="34"/>
    </row>
    <row r="587" spans="1:2">
      <c r="A587" s="34"/>
      <c r="B587" s="34"/>
    </row>
    <row r="588" spans="1:2">
      <c r="A588" s="34"/>
      <c r="B588" s="34"/>
    </row>
    <row r="589" spans="1:2">
      <c r="A589" s="34"/>
      <c r="B589" s="34"/>
    </row>
    <row r="590" spans="1:2">
      <c r="A590" s="34"/>
      <c r="B590" s="34"/>
    </row>
    <row r="591" spans="1:2">
      <c r="A591" s="34"/>
      <c r="B591" s="34"/>
    </row>
    <row r="592" spans="1:2">
      <c r="A592" s="34"/>
      <c r="B592" s="34"/>
    </row>
    <row r="593" spans="1:2">
      <c r="A593" s="34"/>
      <c r="B593" s="34"/>
    </row>
    <row r="594" spans="1:2">
      <c r="A594" s="34"/>
      <c r="B594" s="34"/>
    </row>
    <row r="595" spans="1:2">
      <c r="A595" s="34"/>
      <c r="B595" s="34"/>
    </row>
    <row r="596" spans="1:2">
      <c r="A596" s="34"/>
      <c r="B596" s="34"/>
    </row>
    <row r="597" spans="1:2">
      <c r="A597" s="34"/>
      <c r="B597" s="34"/>
    </row>
    <row r="598" spans="1:2">
      <c r="A598" s="34"/>
      <c r="B598" s="34"/>
    </row>
    <row r="599" spans="1:2">
      <c r="A599" s="34"/>
      <c r="B599" s="34"/>
    </row>
    <row r="600" spans="1:2">
      <c r="A600" s="34"/>
      <c r="B600" s="34"/>
    </row>
    <row r="601" spans="1:2">
      <c r="A601" s="34"/>
      <c r="B601" s="34"/>
    </row>
    <row r="602" spans="1:2">
      <c r="A602" s="34"/>
      <c r="B602" s="34"/>
    </row>
    <row r="603" spans="1:2">
      <c r="A603" s="34"/>
      <c r="B603" s="34"/>
    </row>
    <row r="604" spans="1:2">
      <c r="A604" s="34"/>
      <c r="B604" s="34"/>
    </row>
    <row r="605" spans="1:2">
      <c r="A605" s="34"/>
      <c r="B605" s="34"/>
    </row>
    <row r="606" spans="1:2">
      <c r="A606" s="34"/>
      <c r="B606" s="34"/>
    </row>
    <row r="607" spans="1:2">
      <c r="A607" s="34"/>
      <c r="B607" s="34"/>
    </row>
    <row r="608" spans="1:2">
      <c r="A608" s="34"/>
      <c r="B608" s="34"/>
    </row>
    <row r="609" spans="1:2">
      <c r="A609" s="34"/>
      <c r="B609" s="34"/>
    </row>
    <row r="610" spans="1:2">
      <c r="A610" s="34"/>
      <c r="B610" s="34"/>
    </row>
    <row r="611" spans="1:2">
      <c r="A611" s="34"/>
      <c r="B611" s="34"/>
    </row>
    <row r="612" spans="1:2">
      <c r="A612" s="34"/>
      <c r="B612" s="34"/>
    </row>
    <row r="613" spans="1:2">
      <c r="A613" s="34"/>
      <c r="B613" s="34"/>
    </row>
    <row r="614" spans="1:2">
      <c r="A614" s="34"/>
      <c r="B614" s="34"/>
    </row>
    <row r="615" spans="1:2">
      <c r="A615" s="34"/>
      <c r="B615" s="34"/>
    </row>
    <row r="616" spans="1:2">
      <c r="A616" s="34"/>
      <c r="B616" s="34"/>
    </row>
    <row r="617" spans="1:2">
      <c r="A617" s="34"/>
      <c r="B617" s="34"/>
    </row>
    <row r="618" spans="1:2">
      <c r="A618" s="34"/>
      <c r="B618" s="34"/>
    </row>
    <row r="619" spans="1:2">
      <c r="A619" s="34"/>
      <c r="B619" s="34"/>
    </row>
    <row r="620" spans="1:2">
      <c r="A620" s="34"/>
      <c r="B620" s="34"/>
    </row>
    <row r="621" spans="1:2">
      <c r="A621" s="34"/>
      <c r="B621" s="34"/>
    </row>
    <row r="622" spans="1:2">
      <c r="A622" s="34"/>
      <c r="B622" s="34"/>
    </row>
    <row r="623" spans="1:2">
      <c r="A623" s="34"/>
      <c r="B623" s="34"/>
    </row>
    <row r="624" spans="1:2">
      <c r="A624" s="34"/>
      <c r="B624" s="34"/>
    </row>
    <row r="625" spans="1:2">
      <c r="A625" s="34"/>
      <c r="B625" s="34"/>
    </row>
    <row r="626" spans="1:2">
      <c r="A626" s="34"/>
      <c r="B626" s="34"/>
    </row>
    <row r="627" spans="1:2">
      <c r="A627" s="34"/>
      <c r="B627" s="34"/>
    </row>
    <row r="628" spans="1:2">
      <c r="A628" s="34"/>
      <c r="B628" s="34"/>
    </row>
    <row r="629" spans="1:2">
      <c r="A629" s="34"/>
      <c r="B629" s="34"/>
    </row>
    <row r="630" spans="1:2">
      <c r="A630" s="34"/>
      <c r="B630" s="34"/>
    </row>
    <row r="631" spans="1:2">
      <c r="A631" s="34"/>
      <c r="B631" s="34"/>
    </row>
    <row r="632" spans="1:2">
      <c r="A632" s="34"/>
      <c r="B632" s="34"/>
    </row>
    <row r="633" spans="1:2">
      <c r="A633" s="34"/>
      <c r="B633" s="34"/>
    </row>
    <row r="634" spans="1:2">
      <c r="A634" s="34"/>
      <c r="B634" s="34"/>
    </row>
    <row r="635" spans="1:2">
      <c r="A635" s="34"/>
      <c r="B635" s="34"/>
    </row>
    <row r="636" spans="1:2">
      <c r="A636" s="34"/>
      <c r="B636" s="34"/>
    </row>
    <row r="637" spans="1:2">
      <c r="A637" s="34"/>
      <c r="B637" s="34"/>
    </row>
    <row r="638" spans="1:2">
      <c r="A638" s="34"/>
      <c r="B638" s="34"/>
    </row>
    <row r="639" spans="1:2">
      <c r="A639" s="34"/>
      <c r="B639" s="34"/>
    </row>
    <row r="640" spans="1:2">
      <c r="A640" s="34"/>
      <c r="B640" s="34"/>
    </row>
    <row r="641" spans="1:2">
      <c r="A641" s="34"/>
      <c r="B641" s="34"/>
    </row>
    <row r="642" spans="1:2">
      <c r="A642" s="34"/>
      <c r="B642" s="34"/>
    </row>
    <row r="643" spans="1:2">
      <c r="A643" s="34"/>
      <c r="B643" s="34"/>
    </row>
    <row r="644" spans="1:2">
      <c r="A644" s="34"/>
      <c r="B644" s="34"/>
    </row>
    <row r="645" spans="1:2">
      <c r="A645" s="34"/>
      <c r="B645" s="34"/>
    </row>
    <row r="646" spans="1:2">
      <c r="A646" s="34"/>
      <c r="B646" s="34"/>
    </row>
    <row r="647" spans="1:2">
      <c r="A647" s="34"/>
      <c r="B647" s="34"/>
    </row>
    <row r="648" spans="1:2">
      <c r="A648" s="34"/>
      <c r="B648" s="34"/>
    </row>
    <row r="649" spans="1:2">
      <c r="A649" s="34"/>
      <c r="B649" s="34"/>
    </row>
    <row r="650" spans="1:2">
      <c r="A650" s="34"/>
      <c r="B650" s="34"/>
    </row>
    <row r="651" spans="1:2">
      <c r="A651" s="34"/>
      <c r="B651" s="34"/>
    </row>
    <row r="652" spans="1:2">
      <c r="A652" s="34"/>
      <c r="B652" s="34"/>
    </row>
    <row r="653" spans="1:2">
      <c r="A653" s="34"/>
      <c r="B653" s="34"/>
    </row>
    <row r="654" spans="1:2">
      <c r="A654" s="34"/>
      <c r="B654" s="34"/>
    </row>
    <row r="655" spans="1:2">
      <c r="A655" s="34"/>
      <c r="B655" s="34"/>
    </row>
    <row r="656" spans="1:2">
      <c r="A656" s="34"/>
      <c r="B656" s="34"/>
    </row>
    <row r="657" spans="1:2">
      <c r="A657" s="34"/>
      <c r="B657" s="34"/>
    </row>
    <row r="658" spans="1:2">
      <c r="A658" s="34"/>
      <c r="B658" s="34"/>
    </row>
    <row r="659" spans="1:2">
      <c r="A659" s="34"/>
      <c r="B659" s="34"/>
    </row>
    <row r="660" spans="1:2">
      <c r="A660" s="34"/>
      <c r="B660" s="34"/>
    </row>
    <row r="661" spans="1:2">
      <c r="A661" s="34"/>
      <c r="B661" s="34"/>
    </row>
    <row r="662" spans="1:2">
      <c r="A662" s="34"/>
      <c r="B662" s="34"/>
    </row>
    <row r="663" spans="1:2">
      <c r="A663" s="34"/>
      <c r="B663" s="34"/>
    </row>
    <row r="664" spans="1:2">
      <c r="A664" s="34"/>
      <c r="B664" s="34"/>
    </row>
    <row r="665" spans="1:2">
      <c r="A665" s="34"/>
      <c r="B665" s="34"/>
    </row>
    <row r="666" spans="1:2">
      <c r="A666" s="34"/>
      <c r="B666" s="34"/>
    </row>
    <row r="667" spans="1:2">
      <c r="A667" s="34"/>
      <c r="B667" s="34"/>
    </row>
    <row r="668" spans="1:2">
      <c r="A668" s="34"/>
      <c r="B668" s="34"/>
    </row>
    <row r="669" spans="1:2">
      <c r="A669" s="34"/>
      <c r="B669" s="34"/>
    </row>
    <row r="670" spans="1:2">
      <c r="A670" s="34"/>
      <c r="B670" s="34"/>
    </row>
    <row r="671" spans="1:2">
      <c r="A671" s="34"/>
      <c r="B671" s="34"/>
    </row>
    <row r="672" spans="1:2">
      <c r="A672" s="34"/>
      <c r="B672" s="34"/>
    </row>
    <row r="673" spans="1:2">
      <c r="A673" s="34"/>
      <c r="B673" s="34"/>
    </row>
    <row r="674" spans="1:2">
      <c r="A674" s="34"/>
      <c r="B674" s="34"/>
    </row>
    <row r="675" spans="1:2">
      <c r="A675" s="34"/>
      <c r="B675" s="34"/>
    </row>
    <row r="676" spans="1:2">
      <c r="A676" s="34"/>
      <c r="B676" s="34"/>
    </row>
    <row r="677" spans="1:2">
      <c r="A677" s="34"/>
      <c r="B677" s="34"/>
    </row>
    <row r="678" spans="1:2">
      <c r="A678" s="34"/>
      <c r="B678" s="34"/>
    </row>
    <row r="679" spans="1:2">
      <c r="A679" s="34"/>
      <c r="B679" s="34"/>
    </row>
    <row r="680" spans="1:2">
      <c r="A680" s="34"/>
      <c r="B680" s="34"/>
    </row>
    <row r="681" spans="1:2">
      <c r="A681" s="34"/>
      <c r="B681" s="34"/>
    </row>
    <row r="682" spans="1:2">
      <c r="A682" s="34"/>
      <c r="B682" s="34"/>
    </row>
    <row r="683" spans="1:2">
      <c r="A683" s="34"/>
      <c r="B683" s="34"/>
    </row>
    <row r="684" spans="1:2">
      <c r="A684" s="34"/>
      <c r="B684" s="34"/>
    </row>
    <row r="685" spans="1:2">
      <c r="A685" s="34"/>
      <c r="B685" s="34"/>
    </row>
    <row r="686" spans="1:2">
      <c r="A686" s="34"/>
      <c r="B686" s="34"/>
    </row>
    <row r="687" spans="1:2">
      <c r="A687" s="34"/>
      <c r="B687" s="34"/>
    </row>
    <row r="688" spans="1:2">
      <c r="A688" s="34"/>
      <c r="B688" s="34"/>
    </row>
    <row r="689" spans="1:2">
      <c r="A689" s="34"/>
      <c r="B689" s="34"/>
    </row>
    <row r="690" spans="1:2">
      <c r="A690" s="34"/>
      <c r="B690" s="34"/>
    </row>
    <row r="691" spans="1:2">
      <c r="A691" s="34"/>
      <c r="B691" s="34"/>
    </row>
    <row r="692" spans="1:2">
      <c r="A692" s="34"/>
      <c r="B692" s="34"/>
    </row>
    <row r="693" spans="1:2">
      <c r="A693" s="34"/>
      <c r="B693" s="34"/>
    </row>
    <row r="694" spans="1:2">
      <c r="A694" s="34"/>
      <c r="B694" s="34"/>
    </row>
    <row r="695" spans="1:2">
      <c r="A695" s="34"/>
      <c r="B695" s="34"/>
    </row>
    <row r="696" spans="1:2">
      <c r="A696" s="34"/>
      <c r="B696" s="34"/>
    </row>
    <row r="697" spans="1:2">
      <c r="A697" s="34"/>
      <c r="B697" s="34"/>
    </row>
    <row r="698" spans="1:2">
      <c r="A698" s="34"/>
      <c r="B698" s="34"/>
    </row>
    <row r="699" spans="1:2">
      <c r="A699" s="34"/>
      <c r="B699" s="34"/>
    </row>
    <row r="700" spans="1:2">
      <c r="A700" s="34"/>
      <c r="B700" s="34"/>
    </row>
    <row r="701" spans="1:2">
      <c r="A701" s="34"/>
      <c r="B701" s="34"/>
    </row>
    <row r="702" spans="1:2">
      <c r="A702" s="34"/>
      <c r="B702" s="34"/>
    </row>
    <row r="703" spans="1:2">
      <c r="A703" s="34"/>
      <c r="B703" s="34"/>
    </row>
    <row r="704" spans="1:2">
      <c r="A704" s="34"/>
      <c r="B704" s="34"/>
    </row>
    <row r="705" spans="1:2">
      <c r="A705" s="34"/>
      <c r="B705" s="34"/>
    </row>
    <row r="706" spans="1:2">
      <c r="A706" s="34"/>
      <c r="B706" s="34"/>
    </row>
    <row r="707" spans="1:2">
      <c r="A707" s="34"/>
      <c r="B707" s="34"/>
    </row>
    <row r="708" spans="1:2">
      <c r="A708" s="34"/>
      <c r="B708" s="34"/>
    </row>
    <row r="709" spans="1:2">
      <c r="A709" s="34"/>
      <c r="B709" s="34"/>
    </row>
    <row r="710" spans="1:2">
      <c r="A710" s="34"/>
      <c r="B710" s="34"/>
    </row>
    <row r="711" spans="1:2">
      <c r="A711" s="34"/>
      <c r="B711" s="34"/>
    </row>
    <row r="712" spans="1:2">
      <c r="A712" s="34"/>
      <c r="B712" s="34"/>
    </row>
    <row r="713" spans="1:2">
      <c r="A713" s="34"/>
      <c r="B713" s="34"/>
    </row>
    <row r="714" spans="1:2">
      <c r="A714" s="34"/>
      <c r="B714" s="34"/>
    </row>
    <row r="715" spans="1:2">
      <c r="A715" s="34"/>
      <c r="B715" s="34"/>
    </row>
    <row r="716" spans="1:2">
      <c r="A716" s="34"/>
      <c r="B716" s="34"/>
    </row>
    <row r="717" spans="1:2">
      <c r="A717" s="34"/>
      <c r="B717" s="34"/>
    </row>
    <row r="718" spans="1:2">
      <c r="A718" s="34"/>
      <c r="B718" s="34"/>
    </row>
    <row r="719" spans="1:2">
      <c r="A719" s="34"/>
      <c r="B719" s="34"/>
    </row>
    <row r="720" spans="1:2">
      <c r="A720" s="34"/>
      <c r="B720" s="34"/>
    </row>
    <row r="721" spans="1:2">
      <c r="A721" s="34"/>
      <c r="B721" s="34"/>
    </row>
    <row r="722" spans="1:2">
      <c r="A722" s="34"/>
      <c r="B722" s="34"/>
    </row>
    <row r="723" spans="1:2">
      <c r="A723" s="34"/>
      <c r="B723" s="34"/>
    </row>
    <row r="724" spans="1:2">
      <c r="A724" s="34"/>
      <c r="B724" s="34"/>
    </row>
    <row r="725" spans="1:2">
      <c r="A725" s="34"/>
      <c r="B725" s="34"/>
    </row>
    <row r="726" spans="1:2">
      <c r="A726" s="34"/>
      <c r="B726" s="34"/>
    </row>
    <row r="727" spans="1:2">
      <c r="A727" s="34"/>
      <c r="B727" s="34"/>
    </row>
    <row r="728" spans="1:2">
      <c r="A728" s="34"/>
      <c r="B728" s="34"/>
    </row>
    <row r="729" spans="1:2">
      <c r="A729" s="34"/>
      <c r="B729" s="34"/>
    </row>
    <row r="730" spans="1:2">
      <c r="A730" s="34"/>
      <c r="B730" s="34"/>
    </row>
    <row r="731" spans="1:2">
      <c r="A731" s="34"/>
      <c r="B731" s="34"/>
    </row>
    <row r="732" spans="1:2">
      <c r="A732" s="34"/>
      <c r="B732" s="34"/>
    </row>
    <row r="733" spans="1:2">
      <c r="A733" s="34"/>
      <c r="B733" s="34"/>
    </row>
    <row r="734" spans="1:2">
      <c r="A734" s="34"/>
      <c r="B734" s="34"/>
    </row>
    <row r="735" spans="1:2">
      <c r="A735" s="34"/>
      <c r="B735" s="34"/>
    </row>
    <row r="736" spans="1:2">
      <c r="A736" s="34"/>
      <c r="B736" s="34"/>
    </row>
    <row r="737" spans="1:2">
      <c r="A737" s="34"/>
      <c r="B737" s="34"/>
    </row>
    <row r="738" spans="1:2">
      <c r="A738" s="34"/>
      <c r="B738" s="34"/>
    </row>
    <row r="739" spans="1:2">
      <c r="A739" s="34"/>
      <c r="B739" s="34"/>
    </row>
    <row r="740" spans="1:2">
      <c r="A740" s="34"/>
      <c r="B740" s="34"/>
    </row>
    <row r="741" spans="1:2">
      <c r="A741" s="34"/>
      <c r="B741" s="34"/>
    </row>
    <row r="742" spans="1:2">
      <c r="A742" s="34"/>
      <c r="B742" s="34"/>
    </row>
    <row r="743" spans="1:2">
      <c r="A743" s="34"/>
      <c r="B743" s="34"/>
    </row>
    <row r="744" spans="1:2">
      <c r="A744" s="34"/>
      <c r="B744" s="34"/>
    </row>
    <row r="745" spans="1:2">
      <c r="A745" s="34"/>
      <c r="B745" s="34"/>
    </row>
    <row r="746" spans="1:2">
      <c r="A746" s="34"/>
      <c r="B746" s="34"/>
    </row>
    <row r="747" spans="1:2">
      <c r="A747" s="34"/>
      <c r="B747" s="34"/>
    </row>
    <row r="748" spans="1:2">
      <c r="A748" s="34"/>
      <c r="B748" s="34"/>
    </row>
    <row r="749" spans="1:2">
      <c r="A749" s="34"/>
      <c r="B749" s="34"/>
    </row>
    <row r="750" spans="1:2">
      <c r="A750" s="34"/>
      <c r="B750" s="34"/>
    </row>
    <row r="751" spans="1:2">
      <c r="A751" s="34"/>
      <c r="B751" s="34"/>
    </row>
    <row r="752" spans="1:2">
      <c r="A752" s="34"/>
      <c r="B752" s="34"/>
    </row>
    <row r="753" spans="1:2">
      <c r="A753" s="34"/>
      <c r="B753" s="34"/>
    </row>
    <row r="754" spans="1:2">
      <c r="A754" s="34"/>
      <c r="B754" s="34"/>
    </row>
    <row r="755" spans="1:2">
      <c r="A755" s="34"/>
      <c r="B755" s="34"/>
    </row>
    <row r="756" spans="1:2">
      <c r="A756" s="34"/>
      <c r="B756" s="34"/>
    </row>
    <row r="757" spans="1:2">
      <c r="A757" s="34"/>
      <c r="B757" s="34"/>
    </row>
    <row r="758" spans="1:2">
      <c r="A758" s="34"/>
      <c r="B758" s="34"/>
    </row>
    <row r="759" spans="1:2">
      <c r="A759" s="34"/>
      <c r="B759" s="34"/>
    </row>
    <row r="760" spans="1:2">
      <c r="A760" s="34"/>
      <c r="B760" s="34"/>
    </row>
    <row r="761" spans="1:2">
      <c r="A761" s="34"/>
      <c r="B761" s="34"/>
    </row>
    <row r="762" spans="1:2">
      <c r="A762" s="34"/>
      <c r="B762" s="34"/>
    </row>
    <row r="763" spans="1:2">
      <c r="A763" s="34"/>
      <c r="B763" s="34"/>
    </row>
    <row r="764" spans="1:2">
      <c r="A764" s="34"/>
      <c r="B764" s="34"/>
    </row>
    <row r="765" spans="1:2">
      <c r="A765" s="34"/>
      <c r="B765" s="34"/>
    </row>
    <row r="766" spans="1:2">
      <c r="A766" s="34"/>
      <c r="B766" s="34"/>
    </row>
    <row r="767" spans="1:2">
      <c r="A767" s="34"/>
      <c r="B767" s="34"/>
    </row>
    <row r="768" spans="1:2">
      <c r="A768" s="34"/>
      <c r="B768" s="34"/>
    </row>
    <row r="769" spans="1:2">
      <c r="A769" s="34"/>
      <c r="B769" s="34"/>
    </row>
    <row r="770" spans="1:2">
      <c r="A770" s="34"/>
      <c r="B770" s="34"/>
    </row>
    <row r="771" spans="1:2">
      <c r="A771" s="34"/>
      <c r="B771" s="34"/>
    </row>
    <row r="772" spans="1:2">
      <c r="A772" s="34"/>
      <c r="B772" s="34"/>
    </row>
    <row r="773" spans="1:2">
      <c r="A773" s="34"/>
      <c r="B773" s="34"/>
    </row>
    <row r="774" spans="1:2">
      <c r="A774" s="34"/>
      <c r="B774" s="34"/>
    </row>
    <row r="775" spans="1:2">
      <c r="A775" s="34"/>
      <c r="B775" s="34"/>
    </row>
    <row r="776" spans="1:2">
      <c r="A776" s="34"/>
      <c r="B776" s="34"/>
    </row>
    <row r="777" spans="1:2">
      <c r="A777" s="34"/>
      <c r="B777" s="34"/>
    </row>
    <row r="778" spans="1:2">
      <c r="A778" s="34"/>
      <c r="B778" s="34"/>
    </row>
    <row r="779" spans="1:2">
      <c r="A779" s="34"/>
      <c r="B779" s="34"/>
    </row>
    <row r="780" spans="1:2">
      <c r="A780" s="34"/>
      <c r="B780" s="34"/>
    </row>
    <row r="781" spans="1:2">
      <c r="A781" s="34"/>
      <c r="B781" s="34"/>
    </row>
    <row r="782" spans="1:2">
      <c r="A782" s="34"/>
      <c r="B782" s="34"/>
    </row>
    <row r="783" spans="1:2">
      <c r="A783" s="34"/>
      <c r="B783" s="34"/>
    </row>
    <row r="784" spans="1:2">
      <c r="A784" s="34"/>
      <c r="B784" s="34"/>
    </row>
    <row r="785" spans="1:2">
      <c r="A785" s="34"/>
      <c r="B785" s="34"/>
    </row>
    <row r="786" spans="1:2">
      <c r="A786" s="34"/>
      <c r="B786" s="34"/>
    </row>
    <row r="787" spans="1:2">
      <c r="A787" s="34"/>
      <c r="B787" s="34"/>
    </row>
    <row r="788" spans="1:2">
      <c r="A788" s="34"/>
      <c r="B788" s="34"/>
    </row>
    <row r="789" spans="1:2">
      <c r="A789" s="34"/>
      <c r="B789" s="34"/>
    </row>
    <row r="790" spans="1:2">
      <c r="A790" s="34"/>
      <c r="B790" s="34"/>
    </row>
    <row r="791" spans="1:2">
      <c r="A791" s="34"/>
      <c r="B791" s="34"/>
    </row>
    <row r="792" spans="1:2">
      <c r="A792" s="34"/>
      <c r="B792" s="34"/>
    </row>
    <row r="793" spans="1:2">
      <c r="A793" s="34"/>
      <c r="B793" s="34"/>
    </row>
    <row r="794" spans="1:2">
      <c r="A794" s="34"/>
      <c r="B794" s="34"/>
    </row>
    <row r="795" spans="1:2">
      <c r="A795" s="34"/>
      <c r="B795" s="34"/>
    </row>
    <row r="796" spans="1:2">
      <c r="A796" s="34"/>
      <c r="B796" s="34"/>
    </row>
    <row r="797" spans="1:2">
      <c r="A797" s="34"/>
      <c r="B797" s="34"/>
    </row>
    <row r="798" spans="1:2">
      <c r="A798" s="34"/>
      <c r="B798" s="34"/>
    </row>
    <row r="799" spans="1:2">
      <c r="A799" s="34"/>
      <c r="B799" s="34"/>
    </row>
    <row r="800" spans="1:2">
      <c r="A800" s="34"/>
      <c r="B800" s="34"/>
    </row>
    <row r="801" spans="1:2">
      <c r="A801" s="34"/>
      <c r="B801" s="34"/>
    </row>
    <row r="802" spans="1:2">
      <c r="A802" s="34"/>
      <c r="B802" s="34"/>
    </row>
    <row r="803" spans="1:2">
      <c r="A803" s="34"/>
      <c r="B803" s="34"/>
    </row>
    <row r="804" spans="1:2">
      <c r="A804" s="34"/>
      <c r="B804" s="34"/>
    </row>
    <row r="805" spans="1:2">
      <c r="A805" s="34"/>
      <c r="B805" s="34"/>
    </row>
    <row r="806" spans="1:2">
      <c r="A806" s="34"/>
      <c r="B806" s="34"/>
    </row>
    <row r="807" spans="1:2">
      <c r="A807" s="34"/>
      <c r="B807" s="34"/>
    </row>
    <row r="808" spans="1:2">
      <c r="A808" s="34"/>
      <c r="B808" s="34"/>
    </row>
    <row r="809" spans="1:2">
      <c r="A809" s="34"/>
      <c r="B809" s="34"/>
    </row>
    <row r="810" spans="1:2">
      <c r="A810" s="34"/>
      <c r="B810" s="34"/>
    </row>
    <row r="811" spans="1:2">
      <c r="A811" s="34"/>
      <c r="B811" s="34"/>
    </row>
    <row r="812" spans="1:2">
      <c r="A812" s="34"/>
      <c r="B812" s="34"/>
    </row>
    <row r="813" spans="1:2">
      <c r="A813" s="34"/>
      <c r="B813" s="34"/>
    </row>
    <row r="814" spans="1:2">
      <c r="A814" s="34"/>
      <c r="B814" s="34"/>
    </row>
    <row r="815" spans="1:2">
      <c r="A815" s="34"/>
      <c r="B815" s="34"/>
    </row>
    <row r="816" spans="1:2">
      <c r="A816" s="34"/>
      <c r="B816" s="34"/>
    </row>
    <row r="817" spans="1:2">
      <c r="A817" s="34"/>
      <c r="B817" s="34"/>
    </row>
    <row r="818" spans="1:2">
      <c r="A818" s="34"/>
      <c r="B818" s="34"/>
    </row>
    <row r="819" spans="1:2">
      <c r="A819" s="34"/>
      <c r="B819" s="34"/>
    </row>
    <row r="820" spans="1:2">
      <c r="A820" s="34"/>
      <c r="B820" s="34"/>
    </row>
    <row r="821" spans="1:2">
      <c r="A821" s="34"/>
      <c r="B821" s="34"/>
    </row>
    <row r="822" spans="1:2">
      <c r="A822" s="34"/>
      <c r="B822" s="34"/>
    </row>
    <row r="823" spans="1:2">
      <c r="A823" s="34"/>
      <c r="B823" s="34"/>
    </row>
    <row r="824" spans="1:2">
      <c r="A824" s="34"/>
      <c r="B824" s="34"/>
    </row>
    <row r="825" spans="1:2">
      <c r="A825" s="34"/>
      <c r="B825" s="34"/>
    </row>
    <row r="826" spans="1:2">
      <c r="A826" s="34"/>
      <c r="B826" s="34"/>
    </row>
    <row r="827" spans="1:2">
      <c r="A827" s="34"/>
      <c r="B827" s="34"/>
    </row>
    <row r="828" spans="1:2">
      <c r="A828" s="34"/>
      <c r="B828" s="34"/>
    </row>
    <row r="829" spans="1:2">
      <c r="A829" s="34"/>
      <c r="B829" s="34"/>
    </row>
    <row r="830" spans="1:2">
      <c r="A830" s="34"/>
      <c r="B830" s="34"/>
    </row>
    <row r="831" spans="1:2">
      <c r="A831" s="34"/>
      <c r="B831" s="34"/>
    </row>
    <row r="832" spans="1:2">
      <c r="A832" s="34"/>
      <c r="B832" s="34"/>
    </row>
    <row r="833" spans="1:2">
      <c r="A833" s="34"/>
      <c r="B833" s="34"/>
    </row>
    <row r="834" spans="1:2">
      <c r="A834" s="34"/>
      <c r="B834" s="34"/>
    </row>
    <row r="835" spans="1:2">
      <c r="A835" s="34"/>
      <c r="B835" s="34"/>
    </row>
    <row r="836" spans="1:2">
      <c r="A836" s="34"/>
      <c r="B836" s="34"/>
    </row>
    <row r="837" spans="1:2">
      <c r="A837" s="34"/>
      <c r="B837" s="34"/>
    </row>
    <row r="838" spans="1:2">
      <c r="A838" s="34"/>
      <c r="B838" s="34"/>
    </row>
    <row r="839" spans="1:2">
      <c r="A839" s="34"/>
      <c r="B839" s="34"/>
    </row>
    <row r="840" spans="1:2">
      <c r="A840" s="34"/>
      <c r="B840" s="34"/>
    </row>
    <row r="841" spans="1:2">
      <c r="A841" s="34"/>
      <c r="B841" s="34"/>
    </row>
    <row r="842" spans="1:2">
      <c r="A842" s="34"/>
      <c r="B842" s="34"/>
    </row>
    <row r="843" spans="1:2">
      <c r="A843" s="34"/>
      <c r="B843" s="34"/>
    </row>
    <row r="844" spans="1:2">
      <c r="A844" s="34"/>
      <c r="B844" s="34"/>
    </row>
    <row r="845" spans="1:2">
      <c r="A845" s="34"/>
      <c r="B845" s="34"/>
    </row>
    <row r="846" spans="1:2">
      <c r="A846" s="34"/>
      <c r="B846" s="34"/>
    </row>
    <row r="847" spans="1:2">
      <c r="A847" s="34"/>
      <c r="B847" s="34"/>
    </row>
    <row r="848" spans="1:2">
      <c r="A848" s="34"/>
      <c r="B848" s="34"/>
    </row>
    <row r="849" spans="1:2">
      <c r="A849" s="34"/>
      <c r="B849" s="34"/>
    </row>
    <row r="850" spans="1:2">
      <c r="A850" s="34"/>
      <c r="B850" s="34"/>
    </row>
    <row r="851" spans="1:2">
      <c r="A851" s="34"/>
      <c r="B851" s="34"/>
    </row>
    <row r="852" spans="1:2">
      <c r="A852" s="34"/>
      <c r="B852" s="34"/>
    </row>
    <row r="853" spans="1:2">
      <c r="A853" s="34"/>
      <c r="B853" s="34"/>
    </row>
    <row r="854" spans="1:2">
      <c r="A854" s="34"/>
      <c r="B854" s="34"/>
    </row>
    <row r="855" spans="1:2">
      <c r="A855" s="34"/>
      <c r="B855" s="34"/>
    </row>
    <row r="856" spans="1:2">
      <c r="A856" s="34"/>
      <c r="B856" s="34"/>
    </row>
    <row r="857" spans="1:2">
      <c r="A857" s="34"/>
      <c r="B857" s="34"/>
    </row>
    <row r="858" spans="1:2">
      <c r="A858" s="34"/>
      <c r="B858" s="34"/>
    </row>
    <row r="859" spans="1:2">
      <c r="A859" s="34"/>
      <c r="B859" s="34"/>
    </row>
    <row r="860" spans="1:2">
      <c r="A860" s="34"/>
      <c r="B860" s="34"/>
    </row>
    <row r="861" spans="1:2">
      <c r="A861" s="34"/>
      <c r="B861" s="34"/>
    </row>
    <row r="862" spans="1:2">
      <c r="A862" s="34"/>
      <c r="B862" s="34"/>
    </row>
    <row r="863" spans="1:2">
      <c r="A863" s="34"/>
      <c r="B863" s="34"/>
    </row>
    <row r="864" spans="1:2">
      <c r="A864" s="34"/>
      <c r="B864" s="34"/>
    </row>
    <row r="865" spans="1:2">
      <c r="A865" s="34"/>
      <c r="B865" s="34"/>
    </row>
    <row r="866" spans="1:2">
      <c r="A866" s="34"/>
      <c r="B866" s="34"/>
    </row>
    <row r="867" spans="1:2">
      <c r="A867" s="34"/>
      <c r="B867" s="34"/>
    </row>
    <row r="868" spans="1:2">
      <c r="A868" s="34"/>
      <c r="B868" s="34"/>
    </row>
    <row r="869" spans="1:2">
      <c r="A869" s="34"/>
      <c r="B869" s="34"/>
    </row>
    <row r="870" spans="1:2">
      <c r="A870" s="34"/>
      <c r="B870" s="34"/>
    </row>
    <row r="871" spans="1:2">
      <c r="A871" s="34"/>
      <c r="B871" s="34"/>
    </row>
    <row r="872" spans="1:2">
      <c r="A872" s="34"/>
      <c r="B872" s="34"/>
    </row>
    <row r="873" spans="1:2">
      <c r="A873" s="34"/>
      <c r="B873" s="34"/>
    </row>
    <row r="874" spans="1:2">
      <c r="A874" s="34"/>
      <c r="B874" s="34"/>
    </row>
    <row r="875" spans="1:2">
      <c r="A875" s="34"/>
      <c r="B875" s="34"/>
    </row>
    <row r="876" spans="1:2">
      <c r="A876" s="34"/>
      <c r="B876" s="34"/>
    </row>
    <row r="877" spans="1:2">
      <c r="A877" s="34"/>
      <c r="B877" s="34"/>
    </row>
    <row r="878" spans="1:2">
      <c r="A878" s="34"/>
      <c r="B878" s="34"/>
    </row>
    <row r="879" spans="1:2">
      <c r="A879" s="34"/>
      <c r="B879" s="34"/>
    </row>
    <row r="880" spans="1:2">
      <c r="A880" s="34"/>
      <c r="B880" s="34"/>
    </row>
    <row r="881" spans="1:2">
      <c r="A881" s="34"/>
      <c r="B881" s="34"/>
    </row>
    <row r="882" spans="1:2">
      <c r="A882" s="34"/>
      <c r="B882" s="34"/>
    </row>
    <row r="883" spans="1:2">
      <c r="A883" s="34"/>
      <c r="B883" s="34"/>
    </row>
    <row r="884" spans="1:2">
      <c r="A884" s="34"/>
      <c r="B884" s="34"/>
    </row>
    <row r="885" spans="1:2">
      <c r="A885" s="34"/>
      <c r="B885" s="34"/>
    </row>
    <row r="886" spans="1:2">
      <c r="A886" s="34"/>
      <c r="B886" s="34"/>
    </row>
    <row r="887" spans="1:2">
      <c r="A887" s="34"/>
      <c r="B887" s="34"/>
    </row>
    <row r="888" spans="1:2">
      <c r="A888" s="34"/>
      <c r="B888" s="34"/>
    </row>
    <row r="889" spans="1:2">
      <c r="A889" s="34"/>
      <c r="B889" s="34"/>
    </row>
    <row r="890" spans="1:2">
      <c r="A890" s="34"/>
      <c r="B890" s="34"/>
    </row>
    <row r="891" spans="1:2">
      <c r="A891" s="34"/>
      <c r="B891" s="34"/>
    </row>
    <row r="892" spans="1:2">
      <c r="A892" s="34"/>
      <c r="B892" s="34"/>
    </row>
    <row r="893" spans="1:2">
      <c r="A893" s="34"/>
      <c r="B893" s="34"/>
    </row>
    <row r="894" spans="1:2">
      <c r="A894" s="34"/>
      <c r="B894" s="34"/>
    </row>
    <row r="895" spans="1:2">
      <c r="A895" s="34"/>
      <c r="B895" s="34"/>
    </row>
    <row r="896" spans="1:2">
      <c r="A896" s="34"/>
      <c r="B896" s="34"/>
    </row>
    <row r="897" spans="1:2">
      <c r="A897" s="34"/>
      <c r="B897" s="34"/>
    </row>
    <row r="898" spans="1:2">
      <c r="A898" s="34"/>
      <c r="B898" s="34"/>
    </row>
    <row r="899" spans="1:2">
      <c r="A899" s="34"/>
      <c r="B899" s="34"/>
    </row>
    <row r="900" spans="1:2">
      <c r="A900" s="34"/>
      <c r="B900" s="34"/>
    </row>
    <row r="901" spans="1:2">
      <c r="A901" s="34"/>
      <c r="B901" s="34"/>
    </row>
    <row r="902" spans="1:2">
      <c r="A902" s="34"/>
      <c r="B902" s="34"/>
    </row>
    <row r="903" spans="1:2">
      <c r="A903" s="34"/>
      <c r="B903" s="34"/>
    </row>
    <row r="904" spans="1:2">
      <c r="A904" s="34"/>
      <c r="B904" s="34"/>
    </row>
    <row r="905" spans="1:2">
      <c r="A905" s="34"/>
      <c r="B905" s="34"/>
    </row>
    <row r="906" spans="1:2">
      <c r="A906" s="34"/>
      <c r="B906" s="34"/>
    </row>
    <row r="907" spans="1:2">
      <c r="A907" s="34"/>
      <c r="B907" s="34"/>
    </row>
    <row r="908" spans="1:2">
      <c r="A908" s="34"/>
      <c r="B908" s="34"/>
    </row>
    <row r="909" spans="1:2">
      <c r="A909" s="34"/>
      <c r="B909" s="34"/>
    </row>
    <row r="910" spans="1:2">
      <c r="A910" s="34"/>
      <c r="B910" s="34"/>
    </row>
    <row r="911" spans="1:2">
      <c r="A911" s="34"/>
      <c r="B911" s="34"/>
    </row>
    <row r="912" spans="1:2">
      <c r="A912" s="34"/>
      <c r="B912" s="34"/>
    </row>
    <row r="913" spans="1:2">
      <c r="A913" s="34"/>
      <c r="B913" s="34"/>
    </row>
    <row r="914" spans="1:2">
      <c r="A914" s="34"/>
      <c r="B914" s="34"/>
    </row>
    <row r="915" spans="1:2">
      <c r="A915" s="34"/>
      <c r="B915" s="34"/>
    </row>
    <row r="916" spans="1:2">
      <c r="A916" s="34"/>
      <c r="B916" s="34"/>
    </row>
    <row r="917" spans="1:2">
      <c r="A917" s="34"/>
      <c r="B917" s="34"/>
    </row>
    <row r="918" spans="1:2">
      <c r="A918" s="34"/>
      <c r="B918" s="34"/>
    </row>
    <row r="919" spans="1:2">
      <c r="A919" s="34"/>
      <c r="B919" s="34"/>
    </row>
    <row r="920" spans="1:2">
      <c r="A920" s="34"/>
      <c r="B920" s="34"/>
    </row>
    <row r="921" spans="1:2">
      <c r="A921" s="34"/>
      <c r="B921" s="34"/>
    </row>
    <row r="922" spans="1:2">
      <c r="A922" s="34"/>
      <c r="B922" s="34"/>
    </row>
    <row r="923" spans="1:2">
      <c r="A923" s="34"/>
      <c r="B923" s="34"/>
    </row>
    <row r="924" spans="1:2">
      <c r="A924" s="34"/>
      <c r="B924" s="34"/>
    </row>
    <row r="925" spans="1:2">
      <c r="A925" s="34"/>
      <c r="B925" s="34"/>
    </row>
    <row r="926" spans="1:2">
      <c r="A926" s="34"/>
      <c r="B926" s="34"/>
    </row>
    <row r="927" spans="1:2">
      <c r="A927" s="34"/>
      <c r="B927" s="34"/>
    </row>
    <row r="928" spans="1:2">
      <c r="A928" s="34"/>
      <c r="B928" s="34"/>
    </row>
    <row r="929" spans="1:2">
      <c r="A929" s="34"/>
      <c r="B929" s="34"/>
    </row>
    <row r="930" spans="1:2">
      <c r="A930" s="34"/>
      <c r="B930" s="34"/>
    </row>
    <row r="931" spans="1:2">
      <c r="A931" s="34"/>
      <c r="B931" s="34"/>
    </row>
    <row r="932" spans="1:2">
      <c r="A932" s="34"/>
      <c r="B932" s="34"/>
    </row>
    <row r="933" spans="1:2">
      <c r="A933" s="34"/>
      <c r="B933" s="34"/>
    </row>
    <row r="934" spans="1:2">
      <c r="A934" s="34"/>
      <c r="B934" s="34"/>
    </row>
    <row r="935" spans="1:2">
      <c r="A935" s="34"/>
      <c r="B935" s="34"/>
    </row>
    <row r="936" spans="1:2">
      <c r="A936" s="34"/>
      <c r="B936" s="34"/>
    </row>
    <row r="937" spans="1:2">
      <c r="A937" s="34"/>
      <c r="B937" s="34"/>
    </row>
    <row r="938" spans="1:2">
      <c r="A938" s="34"/>
      <c r="B938" s="34"/>
    </row>
    <row r="939" spans="1:2">
      <c r="A939" s="34"/>
      <c r="B939" s="34"/>
    </row>
    <row r="940" spans="1:2">
      <c r="A940" s="34"/>
      <c r="B940" s="34"/>
    </row>
    <row r="941" spans="1:2">
      <c r="A941" s="34"/>
      <c r="B941" s="34"/>
    </row>
    <row r="942" spans="1:2">
      <c r="A942" s="34"/>
      <c r="B942" s="34"/>
    </row>
    <row r="943" spans="1:2">
      <c r="A943" s="34"/>
      <c r="B943" s="34"/>
    </row>
    <row r="944" spans="1:2">
      <c r="A944" s="34"/>
      <c r="B944" s="34"/>
    </row>
    <row r="945" spans="1:2">
      <c r="A945" s="34"/>
      <c r="B945" s="34"/>
    </row>
    <row r="946" spans="1:2">
      <c r="A946" s="34"/>
      <c r="B946" s="34"/>
    </row>
    <row r="947" spans="1:2">
      <c r="A947" s="34"/>
      <c r="B947" s="34"/>
    </row>
    <row r="948" spans="1:2">
      <c r="A948" s="34"/>
      <c r="B948" s="34"/>
    </row>
    <row r="949" spans="1:2">
      <c r="A949" s="34"/>
      <c r="B949" s="34"/>
    </row>
    <row r="950" spans="1:2">
      <c r="A950" s="34"/>
      <c r="B950" s="34"/>
    </row>
    <row r="951" spans="1:2">
      <c r="A951" s="34"/>
      <c r="B951" s="34"/>
    </row>
    <row r="952" spans="1:2">
      <c r="A952" s="34"/>
      <c r="B952" s="34"/>
    </row>
    <row r="953" spans="1:2">
      <c r="A953" s="34"/>
      <c r="B953" s="34"/>
    </row>
    <row r="954" spans="1:2">
      <c r="A954" s="34"/>
      <c r="B954" s="34"/>
    </row>
    <row r="955" spans="1:2">
      <c r="A955" s="34"/>
      <c r="B955" s="34"/>
    </row>
    <row r="956" spans="1:2">
      <c r="A956" s="34"/>
      <c r="B956" s="34"/>
    </row>
    <row r="957" spans="1:2">
      <c r="A957" s="34"/>
      <c r="B957" s="34"/>
    </row>
    <row r="958" spans="1:2">
      <c r="A958" s="34"/>
      <c r="B958" s="34"/>
    </row>
    <row r="959" spans="1:2">
      <c r="A959" s="34"/>
      <c r="B959" s="34"/>
    </row>
    <row r="960" spans="1:2">
      <c r="A960" s="34"/>
      <c r="B960" s="34"/>
    </row>
    <row r="961" spans="1:2">
      <c r="A961" s="34"/>
      <c r="B961" s="34"/>
    </row>
    <row r="962" spans="1:2">
      <c r="A962" s="34"/>
      <c r="B962" s="34"/>
    </row>
    <row r="963" spans="1:2">
      <c r="A963" s="34"/>
      <c r="B963" s="34"/>
    </row>
    <row r="964" spans="1:2">
      <c r="A964" s="34"/>
      <c r="B964" s="34"/>
    </row>
    <row r="965" spans="1:2">
      <c r="A965" s="34"/>
      <c r="B965" s="34"/>
    </row>
    <row r="966" spans="1:2">
      <c r="A966" s="34"/>
      <c r="B966" s="34"/>
    </row>
    <row r="967" spans="1:2">
      <c r="A967" s="34"/>
      <c r="B967" s="34"/>
    </row>
    <row r="968" spans="1:2">
      <c r="A968" s="34"/>
      <c r="B968" s="34"/>
    </row>
    <row r="969" spans="1:2">
      <c r="A969" s="34"/>
      <c r="B969" s="34"/>
    </row>
    <row r="970" spans="1:2">
      <c r="A970" s="34"/>
      <c r="B970" s="34"/>
    </row>
    <row r="971" spans="1:2">
      <c r="A971" s="34"/>
      <c r="B971" s="34"/>
    </row>
    <row r="972" spans="1:2">
      <c r="A972" s="34"/>
      <c r="B972" s="34"/>
    </row>
    <row r="973" spans="1:2">
      <c r="A973" s="34"/>
      <c r="B973" s="34"/>
    </row>
    <row r="974" spans="1:2">
      <c r="A974" s="34"/>
      <c r="B974" s="34"/>
    </row>
    <row r="975" spans="1:2">
      <c r="A975" s="34"/>
      <c r="B975" s="34"/>
    </row>
    <row r="976" spans="1:2">
      <c r="A976" s="34"/>
      <c r="B976" s="34"/>
    </row>
    <row r="977" spans="1:2">
      <c r="A977" s="34"/>
      <c r="B977" s="34"/>
    </row>
    <row r="978" spans="1:2">
      <c r="A978" s="34"/>
      <c r="B978" s="34"/>
    </row>
    <row r="979" spans="1:2">
      <c r="A979" s="34"/>
      <c r="B979" s="34"/>
    </row>
    <row r="980" spans="1:2">
      <c r="A980" s="34"/>
      <c r="B980" s="34"/>
    </row>
    <row r="981" spans="1:2">
      <c r="A981" s="34"/>
      <c r="B981" s="34"/>
    </row>
    <row r="982" spans="1:2">
      <c r="A982" s="34"/>
      <c r="B982" s="34"/>
    </row>
    <row r="983" spans="1:2">
      <c r="A983" s="34"/>
      <c r="B983" s="34"/>
    </row>
    <row r="984" spans="1:2">
      <c r="A984" s="34"/>
      <c r="B984" s="34"/>
    </row>
    <row r="985" spans="1:2">
      <c r="A985" s="34"/>
      <c r="B985" s="34"/>
    </row>
    <row r="986" spans="1:2">
      <c r="A986" s="34"/>
      <c r="B986" s="34"/>
    </row>
    <row r="987" spans="1:2">
      <c r="A987" s="34"/>
      <c r="B987" s="34"/>
    </row>
    <row r="988" spans="1:2">
      <c r="A988" s="34"/>
      <c r="B988" s="34"/>
    </row>
    <row r="989" spans="1:2">
      <c r="A989" s="34"/>
      <c r="B989" s="34"/>
    </row>
    <row r="990" spans="1:2">
      <c r="A990" s="34"/>
      <c r="B990" s="34"/>
    </row>
    <row r="991" spans="1:2">
      <c r="A991" s="34"/>
      <c r="B991" s="34"/>
    </row>
    <row r="992" spans="1:2">
      <c r="A992" s="34"/>
      <c r="B992" s="34"/>
    </row>
    <row r="993" spans="1:2">
      <c r="A993" s="34"/>
      <c r="B993" s="34"/>
    </row>
    <row r="994" spans="1:2">
      <c r="A994" s="34"/>
      <c r="B994" s="34"/>
    </row>
    <row r="995" spans="1:2">
      <c r="A995" s="34"/>
      <c r="B995" s="34"/>
    </row>
    <row r="996" spans="1:2">
      <c r="A996" s="34"/>
      <c r="B996" s="34"/>
    </row>
    <row r="997" spans="1:2">
      <c r="A997" s="34"/>
      <c r="B997" s="34"/>
    </row>
    <row r="998" spans="1:2">
      <c r="A998" s="34"/>
      <c r="B998" s="34"/>
    </row>
    <row r="999" spans="1:2">
      <c r="A999" s="34"/>
      <c r="B999" s="34"/>
    </row>
  </sheetData>
  <mergeCells count="2">
    <mergeCell ref="A2:D2"/>
    <mergeCell ref="A1:D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3D1DFC05549E14082BF9E3EEC80A32D" ma:contentTypeVersion="12" ma:contentTypeDescription="Create a new document." ma:contentTypeScope="" ma:versionID="21554201654e46cf971c827cc2910603">
  <xsd:schema xmlns:xsd="http://www.w3.org/2001/XMLSchema" xmlns:xs="http://www.w3.org/2001/XMLSchema" xmlns:p="http://schemas.microsoft.com/office/2006/metadata/properties" xmlns:ns2="906065da-3fa6-4c3b-ab91-8edba4cfce3a" xmlns:ns3="9a3d77da-9b63-4cd6-a3db-25b1482dc397" targetNamespace="http://schemas.microsoft.com/office/2006/metadata/properties" ma:root="true" ma:fieldsID="3e615347cad081b8f66298e455f263f0" ns2:_="" ns3:_="">
    <xsd:import namespace="906065da-3fa6-4c3b-ab91-8edba4cfce3a"/>
    <xsd:import namespace="9a3d77da-9b63-4cd6-a3db-25b1482dc39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06065da-3fa6-4c3b-ab91-8edba4cfc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63bdac9-dfdb-458f-9122-9fba833f0eb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a3d77da-9b63-4cd6-a3db-25b1482dc39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298b2c-9eb7-444c-badb-a699ccfaa41a}" ma:internalName="TaxCatchAll" ma:showField="CatchAllData" ma:web="9a3d77da-9b63-4cd6-a3db-25b1482dc39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06065da-3fa6-4c3b-ab91-8edba4cfce3a">
      <Terms xmlns="http://schemas.microsoft.com/office/infopath/2007/PartnerControls"/>
    </lcf76f155ced4ddcb4097134ff3c332f>
    <TaxCatchAll xmlns="9a3d77da-9b63-4cd6-a3db-25b1482dc39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400A2A-7D96-4334-9F04-F88FABD9032F}"/>
</file>

<file path=customXml/itemProps2.xml><?xml version="1.0" encoding="utf-8"?>
<ds:datastoreItem xmlns:ds="http://schemas.openxmlformats.org/officeDocument/2006/customXml" ds:itemID="{CA8DA46A-17E0-4FD4-A74B-346E786BC052}"/>
</file>

<file path=customXml/itemProps3.xml><?xml version="1.0" encoding="utf-8"?>
<ds:datastoreItem xmlns:ds="http://schemas.openxmlformats.org/officeDocument/2006/customXml" ds:itemID="{DE25CA7D-4DC9-42E6-BCE7-999A796643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Cheng Ding Xiang</dc:creator>
  <cp:keywords/>
  <dc:description/>
  <cp:lastModifiedBy/>
  <cp:revision/>
  <dcterms:created xsi:type="dcterms:W3CDTF">2023-06-13T02:01:43Z</dcterms:created>
  <dcterms:modified xsi:type="dcterms:W3CDTF">2024-12-01T12:38:57Z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0x01010033D1DFC05549E14082BF9E3EEC80A32D</vt:lpwstr>
  </property>
  <property fmtid="{D5CDD505-2E9C-101B-9397-08002B2CF9AE}" pid="3" name="MediaServiceImageTags">
    <vt:lpwstr/>
  </property>
</Properties>
</file>